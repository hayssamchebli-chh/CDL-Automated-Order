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yss\OneDrive\Documents\Cabels Sales Manger Project - Manuel\Phase 2\stock-order-streamlit\assets\"/>
    </mc:Choice>
  </mc:AlternateContent>
  <bookViews>
    <workbookView xWindow="0" yWindow="0" windowWidth="19200" windowHeight="6350" firstSheet="1" activeTab="1"/>
  </bookViews>
  <sheets>
    <sheet name="CUSTOMER LIST" sheetId="17" state="hidden" r:id="rId1"/>
    <sheet name="Main Pricing Template" sheetId="1" r:id="rId2"/>
    <sheet name="Sheet6" sheetId="3" state="hidden" r:id="rId3"/>
    <sheet name="Import Coils" sheetId="13" r:id="rId4"/>
    <sheet name="Import Drums" sheetId="14" r:id="rId5"/>
    <sheet name="Sheet3" sheetId="15" state="hidden" r:id="rId6"/>
    <sheet name="TABULAR PRICE LIST" sheetId="10" r:id="rId7"/>
    <sheet name="Main Pricing Template DV" sheetId="18" r:id="rId8"/>
  </sheets>
  <definedNames>
    <definedName name="_xlpm.main" hidden="1" xlm="1">#NAME?</definedName>
    <definedName name="_xlnm.Print_Area" localSheetId="6">'TABULAR PRICE LIST'!$E$1:$L$31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74" i="1" l="1"/>
  <c r="T175" i="1"/>
  <c r="Z174" i="1"/>
  <c r="B139" i="18"/>
  <c r="B140" i="18" s="1"/>
  <c r="B141" i="18" s="1"/>
  <c r="J139" i="18"/>
  <c r="K139" i="18"/>
  <c r="L139" i="18"/>
  <c r="M139" i="18"/>
  <c r="O139" i="18"/>
  <c r="P139" i="18"/>
  <c r="Q139" i="18"/>
  <c r="R139" i="18"/>
  <c r="Z139" i="18"/>
  <c r="Z110" i="1"/>
  <c r="V174" i="1" l="1"/>
  <c r="Y174" i="1"/>
  <c r="AA174" i="1"/>
  <c r="AB174" i="1"/>
  <c r="X174" i="1"/>
  <c r="S139" i="18"/>
  <c r="N139" i="18"/>
  <c r="V175" i="1"/>
  <c r="Y175" i="1"/>
  <c r="AB175" i="1"/>
  <c r="AA175" i="1"/>
  <c r="T139" i="18" l="1"/>
  <c r="T110" i="1"/>
  <c r="X139" i="18" l="1"/>
  <c r="AB139" i="18"/>
  <c r="AA139" i="18"/>
  <c r="V139" i="18"/>
  <c r="Y139" i="18"/>
  <c r="X110" i="1"/>
  <c r="Y110" i="1"/>
  <c r="V110" i="1"/>
  <c r="AA110" i="1"/>
  <c r="AB110" i="1"/>
  <c r="T39" i="1"/>
  <c r="X39" i="1" s="1"/>
  <c r="Z39" i="1"/>
  <c r="L156" i="10"/>
  <c r="Z170" i="1" s="1"/>
  <c r="L157" i="10"/>
  <c r="Z171" i="1" s="1"/>
  <c r="L158" i="10"/>
  <c r="Z172" i="1" s="1"/>
  <c r="L159" i="10"/>
  <c r="Z173" i="1" s="1"/>
  <c r="T173" i="1"/>
  <c r="V173" i="1" s="1"/>
  <c r="J249" i="18"/>
  <c r="T249" i="18" s="1"/>
  <c r="X249" i="18" s="1"/>
  <c r="J250" i="18"/>
  <c r="T250" i="18" s="1"/>
  <c r="X250" i="18" s="1"/>
  <c r="K249" i="18"/>
  <c r="K250" i="18"/>
  <c r="L249" i="18"/>
  <c r="L250" i="18"/>
  <c r="M249" i="18"/>
  <c r="M250" i="18"/>
  <c r="N249" i="18"/>
  <c r="N250" i="18"/>
  <c r="O249" i="18"/>
  <c r="O250" i="18"/>
  <c r="P249" i="18"/>
  <c r="P250" i="18"/>
  <c r="Q249" i="18"/>
  <c r="Q250" i="18"/>
  <c r="R249" i="18"/>
  <c r="R250" i="18"/>
  <c r="S249" i="18"/>
  <c r="S250" i="18"/>
  <c r="Z249" i="18"/>
  <c r="Z250" i="18"/>
  <c r="J251" i="18"/>
  <c r="T251" i="18" s="1"/>
  <c r="X251" i="18" s="1"/>
  <c r="J252" i="18"/>
  <c r="T252" i="18" s="1"/>
  <c r="X252" i="18" s="1"/>
  <c r="K251" i="18"/>
  <c r="K252" i="18"/>
  <c r="L251" i="18"/>
  <c r="L252" i="18"/>
  <c r="M251" i="18"/>
  <c r="M252" i="18"/>
  <c r="N251" i="18"/>
  <c r="N252" i="18"/>
  <c r="O251" i="18"/>
  <c r="O252" i="18"/>
  <c r="P251" i="18"/>
  <c r="P252" i="18"/>
  <c r="Q251" i="18"/>
  <c r="Q252" i="18"/>
  <c r="R251" i="18"/>
  <c r="R252" i="18"/>
  <c r="S251" i="18"/>
  <c r="S252" i="18"/>
  <c r="Z251" i="18"/>
  <c r="Z252" i="18"/>
  <c r="T171" i="1"/>
  <c r="V171" i="1" s="1"/>
  <c r="T172" i="1"/>
  <c r="V172" i="1" s="1"/>
  <c r="V39" i="1" l="1"/>
  <c r="AB39" i="1"/>
  <c r="AA39" i="1"/>
  <c r="Y39" i="1"/>
  <c r="Y173" i="1"/>
  <c r="AB173" i="1"/>
  <c r="AA173" i="1"/>
  <c r="AB250" i="18"/>
  <c r="V249" i="18"/>
  <c r="AA249" i="18"/>
  <c r="AA250" i="18"/>
  <c r="Y250" i="18"/>
  <c r="V250" i="18"/>
  <c r="AA252" i="18"/>
  <c r="Y249" i="18"/>
  <c r="AB251" i="18"/>
  <c r="AA251" i="18"/>
  <c r="V252" i="18"/>
  <c r="V251" i="18"/>
  <c r="AB249" i="18"/>
  <c r="Y252" i="18"/>
  <c r="Y251" i="18"/>
  <c r="AB252" i="18"/>
  <c r="T170" i="1"/>
  <c r="V170" i="1" s="1"/>
  <c r="L155" i="10"/>
  <c r="L154" i="10"/>
  <c r="L153" i="10"/>
  <c r="L152" i="10"/>
  <c r="L10" i="10"/>
  <c r="L11" i="10"/>
  <c r="L12" i="10"/>
  <c r="L13" i="10"/>
  <c r="L14" i="10"/>
  <c r="L15" i="10"/>
  <c r="L17" i="10"/>
  <c r="L19" i="10"/>
  <c r="L21" i="10"/>
  <c r="L23" i="10"/>
  <c r="L25" i="10"/>
  <c r="L27" i="10"/>
  <c r="L28" i="10"/>
  <c r="L29" i="10"/>
  <c r="L30" i="10"/>
  <c r="L31" i="10"/>
  <c r="L32" i="10"/>
  <c r="L33" i="10"/>
  <c r="L34" i="10"/>
  <c r="L35" i="10"/>
  <c r="L36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5" i="10"/>
  <c r="Z111" i="1" s="1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9" i="10"/>
  <c r="I26" i="10"/>
  <c r="L26" i="10" s="1"/>
  <c r="I24" i="10"/>
  <c r="L24" i="10" s="1"/>
  <c r="I22" i="10"/>
  <c r="L22" i="10" s="1"/>
  <c r="I20" i="10"/>
  <c r="L20" i="10" s="1"/>
  <c r="I18" i="10"/>
  <c r="L18" i="10" s="1"/>
  <c r="I16" i="10"/>
  <c r="L16" i="10" s="1"/>
  <c r="Y170" i="1" l="1"/>
  <c r="AB170" i="1"/>
  <c r="AA170" i="1"/>
  <c r="AB171" i="1"/>
  <c r="Y171" i="1"/>
  <c r="AA171" i="1"/>
  <c r="AB172" i="1"/>
  <c r="AA172" i="1"/>
  <c r="Y172" i="1"/>
  <c r="Z150" i="1"/>
  <c r="Z151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49" i="1"/>
  <c r="Z11" i="1"/>
  <c r="W83" i="1"/>
  <c r="Z122" i="1"/>
  <c r="Z123" i="1"/>
  <c r="T162" i="1" l="1"/>
  <c r="V162" i="1" s="1"/>
  <c r="T163" i="1"/>
  <c r="V163" i="1" s="1"/>
  <c r="T164" i="1"/>
  <c r="V164" i="1" s="1"/>
  <c r="T165" i="1"/>
  <c r="V165" i="1" s="1"/>
  <c r="T135" i="1"/>
  <c r="V135" i="1" s="1"/>
  <c r="J243" i="18"/>
  <c r="J244" i="18"/>
  <c r="K243" i="18"/>
  <c r="K244" i="18"/>
  <c r="L243" i="18"/>
  <c r="L244" i="18"/>
  <c r="M243" i="18"/>
  <c r="M244" i="18"/>
  <c r="N243" i="18"/>
  <c r="N244" i="18"/>
  <c r="O243" i="18"/>
  <c r="O244" i="18"/>
  <c r="P243" i="18"/>
  <c r="P244" i="18"/>
  <c r="Q243" i="18"/>
  <c r="Q244" i="18"/>
  <c r="R243" i="18"/>
  <c r="R244" i="18"/>
  <c r="S243" i="18"/>
  <c r="S244" i="18"/>
  <c r="Z243" i="18"/>
  <c r="Z244" i="18"/>
  <c r="J245" i="18"/>
  <c r="J246" i="18"/>
  <c r="K245" i="18"/>
  <c r="K246" i="18"/>
  <c r="L245" i="18"/>
  <c r="L246" i="18"/>
  <c r="M245" i="18"/>
  <c r="M246" i="18"/>
  <c r="N245" i="18"/>
  <c r="N246" i="18"/>
  <c r="O245" i="18"/>
  <c r="O246" i="18"/>
  <c r="P245" i="18"/>
  <c r="P246" i="18"/>
  <c r="Q245" i="18"/>
  <c r="Q246" i="18"/>
  <c r="R245" i="18"/>
  <c r="R246" i="18"/>
  <c r="S245" i="18"/>
  <c r="S246" i="18"/>
  <c r="Z245" i="18"/>
  <c r="Z246" i="18"/>
  <c r="J247" i="18"/>
  <c r="T247" i="18" s="1"/>
  <c r="X247" i="18" s="1"/>
  <c r="J248" i="18"/>
  <c r="K247" i="18"/>
  <c r="K248" i="18"/>
  <c r="L247" i="18"/>
  <c r="L248" i="18"/>
  <c r="M247" i="18"/>
  <c r="M248" i="18"/>
  <c r="N247" i="18"/>
  <c r="N248" i="18"/>
  <c r="O247" i="18"/>
  <c r="O248" i="18"/>
  <c r="P247" i="18"/>
  <c r="P248" i="18"/>
  <c r="Q247" i="18"/>
  <c r="Q248" i="18"/>
  <c r="R247" i="18"/>
  <c r="R248" i="18"/>
  <c r="S247" i="18"/>
  <c r="S248" i="18"/>
  <c r="Z247" i="18"/>
  <c r="Z248" i="18"/>
  <c r="J253" i="18"/>
  <c r="K253" i="18"/>
  <c r="L253" i="18"/>
  <c r="M253" i="18"/>
  <c r="N253" i="18"/>
  <c r="O253" i="18"/>
  <c r="P253" i="18"/>
  <c r="Q253" i="18"/>
  <c r="R253" i="18"/>
  <c r="S253" i="18"/>
  <c r="Z253" i="18"/>
  <c r="T160" i="1"/>
  <c r="V160" i="1" s="1"/>
  <c r="T161" i="1"/>
  <c r="V161" i="1" s="1"/>
  <c r="T166" i="1"/>
  <c r="V166" i="1" s="1"/>
  <c r="T167" i="1"/>
  <c r="V167" i="1" s="1"/>
  <c r="T168" i="1"/>
  <c r="V168" i="1" s="1"/>
  <c r="T169" i="1"/>
  <c r="V169" i="1" s="1"/>
  <c r="X161" i="1" l="1"/>
  <c r="X165" i="1"/>
  <c r="X168" i="1"/>
  <c r="X164" i="1"/>
  <c r="X160" i="1"/>
  <c r="X169" i="1"/>
  <c r="X167" i="1"/>
  <c r="X163" i="1"/>
  <c r="X166" i="1"/>
  <c r="X162" i="1"/>
  <c r="X135" i="1"/>
  <c r="Y135" i="1"/>
  <c r="Y166" i="1"/>
  <c r="Y161" i="1"/>
  <c r="Y160" i="1"/>
  <c r="Y165" i="1"/>
  <c r="Y164" i="1"/>
  <c r="Y163" i="1"/>
  <c r="Y162" i="1"/>
  <c r="Y169" i="1"/>
  <c r="Y168" i="1"/>
  <c r="Y167" i="1"/>
  <c r="AB161" i="1"/>
  <c r="T244" i="18"/>
  <c r="X244" i="18" s="1"/>
  <c r="AB163" i="1"/>
  <c r="AB164" i="1"/>
  <c r="AA164" i="1"/>
  <c r="AB165" i="1"/>
  <c r="AA165" i="1"/>
  <c r="AA163" i="1"/>
  <c r="AB162" i="1"/>
  <c r="AA162" i="1"/>
  <c r="T243" i="18"/>
  <c r="V243" i="18" s="1"/>
  <c r="T248" i="18"/>
  <c r="AB248" i="18" s="1"/>
  <c r="T246" i="18"/>
  <c r="AA246" i="18" s="1"/>
  <c r="T245" i="18"/>
  <c r="X245" i="18" s="1"/>
  <c r="T253" i="18"/>
  <c r="Y253" i="18" s="1"/>
  <c r="Y247" i="18"/>
  <c r="V247" i="18"/>
  <c r="AA247" i="18"/>
  <c r="AB247" i="18"/>
  <c r="AA161" i="1"/>
  <c r="AB166" i="1"/>
  <c r="AA166" i="1"/>
  <c r="AB160" i="1"/>
  <c r="AB167" i="1"/>
  <c r="AA167" i="1"/>
  <c r="AA160" i="1"/>
  <c r="AB168" i="1"/>
  <c r="AA168" i="1"/>
  <c r="AB169" i="1"/>
  <c r="AA169" i="1"/>
  <c r="Y243" i="18" l="1"/>
  <c r="V244" i="18"/>
  <c r="Y244" i="18"/>
  <c r="AA244" i="18"/>
  <c r="AB244" i="18"/>
  <c r="AA243" i="18"/>
  <c r="X243" i="18"/>
  <c r="AB243" i="18"/>
  <c r="AB246" i="18"/>
  <c r="X246" i="18"/>
  <c r="AA248" i="18"/>
  <c r="X248" i="18"/>
  <c r="V246" i="18"/>
  <c r="Y246" i="18"/>
  <c r="Y248" i="18"/>
  <c r="V248" i="18"/>
  <c r="AA245" i="18"/>
  <c r="Y245" i="18"/>
  <c r="AB245" i="18"/>
  <c r="V245" i="18"/>
  <c r="AA253" i="18"/>
  <c r="X253" i="18"/>
  <c r="AB253" i="18"/>
  <c r="V253" i="18"/>
  <c r="Z232" i="18" l="1"/>
  <c r="Z233" i="18"/>
  <c r="Z234" i="18"/>
  <c r="Z235" i="18"/>
  <c r="Z236" i="18"/>
  <c r="Z204" i="18"/>
  <c r="T158" i="1"/>
  <c r="V158" i="1" s="1"/>
  <c r="T159" i="1"/>
  <c r="V159" i="1" s="1"/>
  <c r="J235" i="18"/>
  <c r="J236" i="18"/>
  <c r="J237" i="18"/>
  <c r="J238" i="18"/>
  <c r="K235" i="18"/>
  <c r="K236" i="18"/>
  <c r="K237" i="18"/>
  <c r="K238" i="18"/>
  <c r="L235" i="18"/>
  <c r="L236" i="18"/>
  <c r="L237" i="18"/>
  <c r="L238" i="18"/>
  <c r="M235" i="18"/>
  <c r="M236" i="18"/>
  <c r="M237" i="18"/>
  <c r="M238" i="18"/>
  <c r="N235" i="18"/>
  <c r="N236" i="18"/>
  <c r="N237" i="18"/>
  <c r="N238" i="18"/>
  <c r="O235" i="18"/>
  <c r="O236" i="18"/>
  <c r="O237" i="18"/>
  <c r="O238" i="18"/>
  <c r="P235" i="18"/>
  <c r="P236" i="18"/>
  <c r="P237" i="18"/>
  <c r="P238" i="18"/>
  <c r="Q235" i="18"/>
  <c r="Q236" i="18"/>
  <c r="Q237" i="18"/>
  <c r="R235" i="18"/>
  <c r="R236" i="18"/>
  <c r="R237" i="18"/>
  <c r="R238" i="18"/>
  <c r="S235" i="18"/>
  <c r="S236" i="18"/>
  <c r="S237" i="18"/>
  <c r="S238" i="18"/>
  <c r="J231" i="18"/>
  <c r="J232" i="18"/>
  <c r="K231" i="18"/>
  <c r="K232" i="18"/>
  <c r="L231" i="18"/>
  <c r="L232" i="18"/>
  <c r="M231" i="18"/>
  <c r="M232" i="18"/>
  <c r="N231" i="18"/>
  <c r="N232" i="18"/>
  <c r="O232" i="18"/>
  <c r="P231" i="18"/>
  <c r="P232" i="18"/>
  <c r="Q231" i="18"/>
  <c r="Q232" i="18"/>
  <c r="R231" i="18"/>
  <c r="R232" i="18"/>
  <c r="S231" i="18"/>
  <c r="S232" i="18"/>
  <c r="Z231" i="18"/>
  <c r="J233" i="18"/>
  <c r="J234" i="18"/>
  <c r="K233" i="18"/>
  <c r="K234" i="18"/>
  <c r="L233" i="18"/>
  <c r="L234" i="18"/>
  <c r="M233" i="18"/>
  <c r="M234" i="18"/>
  <c r="N233" i="18"/>
  <c r="N234" i="18"/>
  <c r="O233" i="18"/>
  <c r="O234" i="18"/>
  <c r="P233" i="18"/>
  <c r="P234" i="18"/>
  <c r="Q233" i="18"/>
  <c r="Q234" i="18"/>
  <c r="R233" i="18"/>
  <c r="R234" i="18"/>
  <c r="S233" i="18"/>
  <c r="S234" i="18"/>
  <c r="J239" i="18"/>
  <c r="J240" i="18"/>
  <c r="K239" i="18"/>
  <c r="K240" i="18"/>
  <c r="L239" i="18"/>
  <c r="L240" i="18"/>
  <c r="M239" i="18"/>
  <c r="M240" i="18"/>
  <c r="N239" i="18"/>
  <c r="N240" i="18"/>
  <c r="O239" i="18"/>
  <c r="O240" i="18"/>
  <c r="P239" i="18"/>
  <c r="P240" i="18"/>
  <c r="Q239" i="18"/>
  <c r="Q240" i="18"/>
  <c r="R239" i="18"/>
  <c r="R240" i="18"/>
  <c r="S239" i="18"/>
  <c r="S240" i="18"/>
  <c r="J241" i="18"/>
  <c r="J242" i="18"/>
  <c r="K241" i="18"/>
  <c r="K242" i="18"/>
  <c r="L241" i="18"/>
  <c r="L242" i="18"/>
  <c r="M241" i="18"/>
  <c r="M242" i="18"/>
  <c r="N241" i="18"/>
  <c r="N242" i="18"/>
  <c r="O241" i="18"/>
  <c r="O242" i="18"/>
  <c r="P241" i="18"/>
  <c r="P242" i="18"/>
  <c r="Q241" i="18"/>
  <c r="Q242" i="18"/>
  <c r="R241" i="18"/>
  <c r="R242" i="18"/>
  <c r="S241" i="18"/>
  <c r="S242" i="18"/>
  <c r="Z241" i="18"/>
  <c r="Z242" i="18"/>
  <c r="T152" i="1"/>
  <c r="V152" i="1" s="1"/>
  <c r="T153" i="1"/>
  <c r="V153" i="1" s="1"/>
  <c r="T154" i="1"/>
  <c r="V154" i="1" s="1"/>
  <c r="T155" i="1"/>
  <c r="V155" i="1" s="1"/>
  <c r="T156" i="1"/>
  <c r="V156" i="1" s="1"/>
  <c r="T157" i="1"/>
  <c r="V157" i="1" s="1"/>
  <c r="T133" i="1"/>
  <c r="V133" i="1" s="1"/>
  <c r="T122" i="1"/>
  <c r="V122" i="1" s="1"/>
  <c r="X122" i="1" l="1"/>
  <c r="X157" i="1"/>
  <c r="X154" i="1"/>
  <c r="X156" i="1"/>
  <c r="X133" i="1"/>
  <c r="X159" i="1"/>
  <c r="X155" i="1"/>
  <c r="X158" i="1"/>
  <c r="X152" i="1"/>
  <c r="Y159" i="1"/>
  <c r="Y158" i="1"/>
  <c r="Y157" i="1"/>
  <c r="Y155" i="1"/>
  <c r="Y154" i="1"/>
  <c r="Y153" i="1"/>
  <c r="Y152" i="1"/>
  <c r="Y156" i="1"/>
  <c r="AB159" i="1"/>
  <c r="AB158" i="1"/>
  <c r="AA153" i="1"/>
  <c r="AA152" i="1"/>
  <c r="T237" i="18"/>
  <c r="V237" i="18" s="1"/>
  <c r="T236" i="18"/>
  <c r="X236" i="18" s="1"/>
  <c r="T235" i="18"/>
  <c r="Y235" i="18" s="1"/>
  <c r="T238" i="18"/>
  <c r="AA238" i="18" s="1"/>
  <c r="AB152" i="1"/>
  <c r="T231" i="18"/>
  <c r="X231" i="18" s="1"/>
  <c r="T233" i="18"/>
  <c r="T232" i="18"/>
  <c r="T239" i="18"/>
  <c r="AB239" i="18" s="1"/>
  <c r="T234" i="18"/>
  <c r="T240" i="18"/>
  <c r="X240" i="18" s="1"/>
  <c r="T242" i="18"/>
  <c r="V242" i="18" s="1"/>
  <c r="T241" i="18"/>
  <c r="Y241" i="18" s="1"/>
  <c r="AB157" i="1"/>
  <c r="AB153" i="1"/>
  <c r="AB156" i="1"/>
  <c r="AA156" i="1"/>
  <c r="AB154" i="1"/>
  <c r="AA155" i="1"/>
  <c r="AB155" i="1"/>
  <c r="AA154" i="1"/>
  <c r="AA157" i="1"/>
  <c r="V235" i="18" l="1"/>
  <c r="Y237" i="18"/>
  <c r="AA237" i="18"/>
  <c r="AB237" i="18"/>
  <c r="V236" i="18"/>
  <c r="X237" i="18"/>
  <c r="Y236" i="18"/>
  <c r="AA236" i="18"/>
  <c r="AB236" i="18"/>
  <c r="AA235" i="18"/>
  <c r="AB235" i="18"/>
  <c r="X235" i="18"/>
  <c r="Y238" i="18"/>
  <c r="AB238" i="18"/>
  <c r="X238" i="18"/>
  <c r="V238" i="18"/>
  <c r="Y233" i="18"/>
  <c r="X233" i="18"/>
  <c r="X234" i="18"/>
  <c r="Y234" i="18"/>
  <c r="X232" i="18"/>
  <c r="Y232" i="18"/>
  <c r="V231" i="18"/>
  <c r="AA233" i="18"/>
  <c r="AB232" i="18"/>
  <c r="Y231" i="18"/>
  <c r="AB231" i="18"/>
  <c r="V233" i="18"/>
  <c r="AA239" i="18"/>
  <c r="Y239" i="18"/>
  <c r="AB233" i="18"/>
  <c r="X239" i="18"/>
  <c r="AA231" i="18"/>
  <c r="V239" i="18"/>
  <c r="AA232" i="18"/>
  <c r="AB242" i="18"/>
  <c r="V232" i="18"/>
  <c r="X241" i="18"/>
  <c r="AA242" i="18"/>
  <c r="Y242" i="18"/>
  <c r="X242" i="18"/>
  <c r="V234" i="18"/>
  <c r="AB234" i="18"/>
  <c r="AB241" i="18"/>
  <c r="AA240" i="18"/>
  <c r="AA234" i="18"/>
  <c r="AA241" i="18"/>
  <c r="AB240" i="18"/>
  <c r="V240" i="18"/>
  <c r="V241" i="18"/>
  <c r="Y240" i="18"/>
  <c r="S10" i="18" l="1"/>
  <c r="S11" i="18"/>
  <c r="S12" i="18"/>
  <c r="S13" i="18"/>
  <c r="S14" i="18"/>
  <c r="S15" i="18"/>
  <c r="S16" i="18"/>
  <c r="S17" i="18"/>
  <c r="S18" i="18"/>
  <c r="S19" i="18"/>
  <c r="S20" i="18"/>
  <c r="S21" i="18"/>
  <c r="S22" i="18"/>
  <c r="S23" i="18"/>
  <c r="S24" i="18"/>
  <c r="S25" i="18"/>
  <c r="S26" i="18"/>
  <c r="S27" i="18"/>
  <c r="S28" i="18"/>
  <c r="S29" i="18"/>
  <c r="S30" i="18"/>
  <c r="S31" i="18"/>
  <c r="S32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46" i="18"/>
  <c r="S47" i="18"/>
  <c r="S48" i="18"/>
  <c r="S49" i="18"/>
  <c r="S50" i="18"/>
  <c r="S51" i="18"/>
  <c r="S52" i="18"/>
  <c r="S53" i="18"/>
  <c r="S54" i="18"/>
  <c r="S55" i="18"/>
  <c r="S56" i="18"/>
  <c r="S57" i="18"/>
  <c r="S58" i="18"/>
  <c r="S59" i="18"/>
  <c r="S60" i="18"/>
  <c r="S61" i="18"/>
  <c r="S62" i="18"/>
  <c r="S63" i="18"/>
  <c r="S64" i="18"/>
  <c r="S65" i="18"/>
  <c r="S66" i="18"/>
  <c r="S67" i="18"/>
  <c r="S68" i="18"/>
  <c r="S69" i="18"/>
  <c r="S70" i="18"/>
  <c r="S71" i="18"/>
  <c r="S72" i="18"/>
  <c r="S73" i="18"/>
  <c r="S74" i="18"/>
  <c r="S75" i="18"/>
  <c r="S76" i="18"/>
  <c r="S77" i="18"/>
  <c r="S78" i="18"/>
  <c r="S79" i="18"/>
  <c r="S80" i="18"/>
  <c r="S81" i="18"/>
  <c r="S82" i="18"/>
  <c r="S83" i="18"/>
  <c r="S84" i="18"/>
  <c r="S85" i="18"/>
  <c r="S86" i="18"/>
  <c r="S87" i="18"/>
  <c r="S88" i="18"/>
  <c r="S89" i="18"/>
  <c r="S90" i="18"/>
  <c r="S91" i="18"/>
  <c r="S92" i="18"/>
  <c r="S93" i="18"/>
  <c r="S94" i="18"/>
  <c r="S95" i="18"/>
  <c r="S96" i="18"/>
  <c r="S97" i="18"/>
  <c r="S98" i="18"/>
  <c r="S99" i="18"/>
  <c r="S100" i="18"/>
  <c r="S101" i="18"/>
  <c r="S102" i="18"/>
  <c r="S103" i="18"/>
  <c r="S104" i="18"/>
  <c r="S105" i="18"/>
  <c r="S106" i="18"/>
  <c r="S107" i="18"/>
  <c r="S108" i="18"/>
  <c r="S109" i="18"/>
  <c r="S110" i="18"/>
  <c r="S111" i="18"/>
  <c r="S112" i="18"/>
  <c r="S113" i="18"/>
  <c r="S114" i="18"/>
  <c r="S115" i="18"/>
  <c r="S116" i="18"/>
  <c r="S117" i="18"/>
  <c r="S118" i="18"/>
  <c r="S119" i="18"/>
  <c r="S120" i="18"/>
  <c r="S121" i="18"/>
  <c r="S122" i="18"/>
  <c r="S123" i="18"/>
  <c r="S124" i="18"/>
  <c r="S125" i="18"/>
  <c r="S126" i="18"/>
  <c r="S127" i="18"/>
  <c r="S128" i="18"/>
  <c r="S129" i="18"/>
  <c r="S130" i="18"/>
  <c r="S131" i="18"/>
  <c r="S132" i="18"/>
  <c r="S133" i="18"/>
  <c r="S134" i="18"/>
  <c r="S135" i="18"/>
  <c r="S136" i="18"/>
  <c r="S137" i="18"/>
  <c r="S138" i="18"/>
  <c r="S140" i="18"/>
  <c r="S141" i="18"/>
  <c r="S142" i="18"/>
  <c r="S143" i="18"/>
  <c r="S144" i="18"/>
  <c r="S145" i="18"/>
  <c r="S146" i="18"/>
  <c r="S147" i="18"/>
  <c r="S148" i="18"/>
  <c r="S149" i="18"/>
  <c r="S150" i="18"/>
  <c r="S151" i="18"/>
  <c r="S152" i="18"/>
  <c r="S153" i="18"/>
  <c r="S154" i="18"/>
  <c r="S155" i="18"/>
  <c r="S156" i="18"/>
  <c r="S157" i="18"/>
  <c r="S158" i="18"/>
  <c r="S159" i="18"/>
  <c r="S160" i="18"/>
  <c r="S161" i="18"/>
  <c r="S162" i="18"/>
  <c r="S163" i="18"/>
  <c r="S164" i="18"/>
  <c r="S165" i="18"/>
  <c r="S166" i="18"/>
  <c r="S167" i="18"/>
  <c r="S168" i="18"/>
  <c r="S169" i="18"/>
  <c r="S170" i="18"/>
  <c r="S171" i="18"/>
  <c r="S172" i="18"/>
  <c r="S173" i="18"/>
  <c r="S174" i="18"/>
  <c r="S175" i="18"/>
  <c r="S176" i="18"/>
  <c r="S177" i="18"/>
  <c r="S178" i="18"/>
  <c r="S179" i="18"/>
  <c r="S180" i="18"/>
  <c r="S181" i="18"/>
  <c r="S182" i="18"/>
  <c r="S183" i="18"/>
  <c r="S184" i="18"/>
  <c r="S185" i="18"/>
  <c r="S186" i="18"/>
  <c r="S187" i="18"/>
  <c r="S188" i="18"/>
  <c r="S189" i="18"/>
  <c r="S190" i="18"/>
  <c r="S191" i="18"/>
  <c r="S192" i="18"/>
  <c r="S193" i="18"/>
  <c r="S194" i="18"/>
  <c r="S195" i="18"/>
  <c r="S196" i="18"/>
  <c r="S197" i="18"/>
  <c r="S198" i="18"/>
  <c r="S199" i="18"/>
  <c r="S200" i="18"/>
  <c r="S201" i="18"/>
  <c r="S202" i="18"/>
  <c r="S203" i="18"/>
  <c r="S204" i="18"/>
  <c r="S205" i="18"/>
  <c r="S206" i="18"/>
  <c r="S207" i="18"/>
  <c r="S208" i="18"/>
  <c r="S209" i="18"/>
  <c r="S210" i="18"/>
  <c r="S211" i="18"/>
  <c r="S212" i="18"/>
  <c r="S213" i="18"/>
  <c r="S214" i="18"/>
  <c r="S215" i="18"/>
  <c r="S216" i="18"/>
  <c r="S217" i="18"/>
  <c r="S218" i="18"/>
  <c r="S219" i="18"/>
  <c r="S220" i="18"/>
  <c r="S221" i="18"/>
  <c r="S222" i="18"/>
  <c r="S223" i="18"/>
  <c r="S224" i="18"/>
  <c r="S225" i="18"/>
  <c r="S226" i="18"/>
  <c r="S227" i="18"/>
  <c r="S228" i="18"/>
  <c r="S229" i="18"/>
  <c r="S230" i="18"/>
  <c r="S254" i="18"/>
  <c r="R10" i="18"/>
  <c r="R11" i="18"/>
  <c r="R12" i="18"/>
  <c r="R13" i="18"/>
  <c r="R14" i="18"/>
  <c r="R15" i="18"/>
  <c r="R16" i="18"/>
  <c r="R17" i="18"/>
  <c r="R18" i="18"/>
  <c r="R19" i="18"/>
  <c r="R20" i="18"/>
  <c r="R21" i="18"/>
  <c r="R22" i="18"/>
  <c r="R23" i="18"/>
  <c r="R24" i="18"/>
  <c r="R25" i="18"/>
  <c r="R26" i="18"/>
  <c r="R27" i="18"/>
  <c r="R28" i="18"/>
  <c r="R29" i="18"/>
  <c r="R30" i="18"/>
  <c r="R31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56" i="18"/>
  <c r="R57" i="18"/>
  <c r="R58" i="18"/>
  <c r="R59" i="18"/>
  <c r="R60" i="18"/>
  <c r="R61" i="18"/>
  <c r="R62" i="18"/>
  <c r="R63" i="18"/>
  <c r="R64" i="18"/>
  <c r="R65" i="18"/>
  <c r="R66" i="18"/>
  <c r="R67" i="18"/>
  <c r="R68" i="18"/>
  <c r="R69" i="18"/>
  <c r="R70" i="18"/>
  <c r="R71" i="18"/>
  <c r="R72" i="18"/>
  <c r="R73" i="18"/>
  <c r="R74" i="18"/>
  <c r="R75" i="18"/>
  <c r="R76" i="18"/>
  <c r="R77" i="18"/>
  <c r="R78" i="18"/>
  <c r="R79" i="18"/>
  <c r="R80" i="18"/>
  <c r="R81" i="18"/>
  <c r="R82" i="18"/>
  <c r="R83" i="18"/>
  <c r="R84" i="18"/>
  <c r="R85" i="18"/>
  <c r="R86" i="18"/>
  <c r="R87" i="18"/>
  <c r="R88" i="18"/>
  <c r="R89" i="18"/>
  <c r="R90" i="18"/>
  <c r="R91" i="18"/>
  <c r="R92" i="18"/>
  <c r="R93" i="18"/>
  <c r="R94" i="18"/>
  <c r="R95" i="18"/>
  <c r="R96" i="18"/>
  <c r="R97" i="18"/>
  <c r="R98" i="18"/>
  <c r="R99" i="18"/>
  <c r="R100" i="18"/>
  <c r="R101" i="18"/>
  <c r="R102" i="18"/>
  <c r="R103" i="18"/>
  <c r="R104" i="18"/>
  <c r="R105" i="18"/>
  <c r="R106" i="18"/>
  <c r="R107" i="18"/>
  <c r="R108" i="18"/>
  <c r="R109" i="18"/>
  <c r="R110" i="18"/>
  <c r="R111" i="18"/>
  <c r="R112" i="18"/>
  <c r="R113" i="18"/>
  <c r="R114" i="18"/>
  <c r="R115" i="18"/>
  <c r="R116" i="18"/>
  <c r="R117" i="18"/>
  <c r="R118" i="18"/>
  <c r="R119" i="18"/>
  <c r="R120" i="18"/>
  <c r="R121" i="18"/>
  <c r="R122" i="18"/>
  <c r="R123" i="18"/>
  <c r="R124" i="18"/>
  <c r="R125" i="18"/>
  <c r="R126" i="18"/>
  <c r="R127" i="18"/>
  <c r="R128" i="18"/>
  <c r="R129" i="18"/>
  <c r="R130" i="18"/>
  <c r="R131" i="18"/>
  <c r="R132" i="18"/>
  <c r="R133" i="18"/>
  <c r="R134" i="18"/>
  <c r="R135" i="18"/>
  <c r="R136" i="18"/>
  <c r="R137" i="18"/>
  <c r="R138" i="18"/>
  <c r="R140" i="18"/>
  <c r="R141" i="18"/>
  <c r="R142" i="18"/>
  <c r="R143" i="18"/>
  <c r="R144" i="18"/>
  <c r="R145" i="18"/>
  <c r="R146" i="18"/>
  <c r="R147" i="18"/>
  <c r="R148" i="18"/>
  <c r="R149" i="18"/>
  <c r="R150" i="18"/>
  <c r="R151" i="18"/>
  <c r="R152" i="18"/>
  <c r="R153" i="18"/>
  <c r="R154" i="18"/>
  <c r="R155" i="18"/>
  <c r="R156" i="18"/>
  <c r="R157" i="18"/>
  <c r="R158" i="18"/>
  <c r="R159" i="18"/>
  <c r="R160" i="18"/>
  <c r="R161" i="18"/>
  <c r="R162" i="18"/>
  <c r="R163" i="18"/>
  <c r="R164" i="18"/>
  <c r="R165" i="18"/>
  <c r="R166" i="18"/>
  <c r="R167" i="18"/>
  <c r="R168" i="18"/>
  <c r="R169" i="18"/>
  <c r="R170" i="18"/>
  <c r="R171" i="18"/>
  <c r="R172" i="18"/>
  <c r="R173" i="18"/>
  <c r="R174" i="18"/>
  <c r="R175" i="18"/>
  <c r="R176" i="18"/>
  <c r="R177" i="18"/>
  <c r="R178" i="18"/>
  <c r="R179" i="18"/>
  <c r="R180" i="18"/>
  <c r="R181" i="18"/>
  <c r="R182" i="18"/>
  <c r="R183" i="18"/>
  <c r="R184" i="18"/>
  <c r="R185" i="18"/>
  <c r="R186" i="18"/>
  <c r="R187" i="18"/>
  <c r="R188" i="18"/>
  <c r="R189" i="18"/>
  <c r="R190" i="18"/>
  <c r="R191" i="18"/>
  <c r="R192" i="18"/>
  <c r="R193" i="18"/>
  <c r="R194" i="18"/>
  <c r="R195" i="18"/>
  <c r="R196" i="18"/>
  <c r="R197" i="18"/>
  <c r="R198" i="18"/>
  <c r="R199" i="18"/>
  <c r="R200" i="18"/>
  <c r="R201" i="18"/>
  <c r="R202" i="18"/>
  <c r="R203" i="18"/>
  <c r="R204" i="18"/>
  <c r="R205" i="18"/>
  <c r="R206" i="18"/>
  <c r="R207" i="18"/>
  <c r="R208" i="18"/>
  <c r="R209" i="18"/>
  <c r="R210" i="18"/>
  <c r="R211" i="18"/>
  <c r="R212" i="18"/>
  <c r="R213" i="18"/>
  <c r="R214" i="18"/>
  <c r="R215" i="18"/>
  <c r="R216" i="18"/>
  <c r="R217" i="18"/>
  <c r="R218" i="18"/>
  <c r="R219" i="18"/>
  <c r="R220" i="18"/>
  <c r="R221" i="18"/>
  <c r="R222" i="18"/>
  <c r="R223" i="18"/>
  <c r="R224" i="18"/>
  <c r="R225" i="18"/>
  <c r="R226" i="18"/>
  <c r="R227" i="18"/>
  <c r="R228" i="18"/>
  <c r="R229" i="18"/>
  <c r="R230" i="18"/>
  <c r="R254" i="18"/>
  <c r="Q10" i="18" l="1"/>
  <c r="Q11" i="18"/>
  <c r="Q12" i="18"/>
  <c r="Q13" i="18"/>
  <c r="Q14" i="18"/>
  <c r="Q15" i="18"/>
  <c r="Q16" i="18"/>
  <c r="Q17" i="18"/>
  <c r="Q18" i="18"/>
  <c r="Q19" i="18"/>
  <c r="Q20" i="18"/>
  <c r="Q21" i="18"/>
  <c r="Q22" i="18"/>
  <c r="Q23" i="18"/>
  <c r="Q24" i="18"/>
  <c r="Q25" i="18"/>
  <c r="Q26" i="18"/>
  <c r="Q27" i="18"/>
  <c r="Q28" i="18"/>
  <c r="Q29" i="18"/>
  <c r="Q30" i="18"/>
  <c r="Q31" i="18"/>
  <c r="Q32" i="18"/>
  <c r="Q33" i="18"/>
  <c r="Q34" i="18"/>
  <c r="Q35" i="18"/>
  <c r="Q36" i="18"/>
  <c r="Q37" i="18"/>
  <c r="Q38" i="18"/>
  <c r="Q39" i="18"/>
  <c r="Q40" i="18"/>
  <c r="Q41" i="18"/>
  <c r="Q42" i="18"/>
  <c r="Q43" i="18"/>
  <c r="Q44" i="18"/>
  <c r="Q45" i="18"/>
  <c r="Q46" i="18"/>
  <c r="Q47" i="18"/>
  <c r="Q48" i="18"/>
  <c r="Q49" i="18"/>
  <c r="Q50" i="18"/>
  <c r="Q51" i="18"/>
  <c r="Q52" i="18"/>
  <c r="Q53" i="18"/>
  <c r="Q54" i="18"/>
  <c r="Q55" i="18"/>
  <c r="Q56" i="18"/>
  <c r="Q57" i="18"/>
  <c r="Q58" i="18"/>
  <c r="Q59" i="18"/>
  <c r="Q60" i="18"/>
  <c r="Q61" i="18"/>
  <c r="Q62" i="18"/>
  <c r="Q63" i="18"/>
  <c r="Q64" i="18"/>
  <c r="Q65" i="18"/>
  <c r="Q66" i="18"/>
  <c r="Q67" i="18"/>
  <c r="Q68" i="18"/>
  <c r="Q69" i="18"/>
  <c r="Q70" i="18"/>
  <c r="Q71" i="18"/>
  <c r="Q72" i="18"/>
  <c r="Q73" i="18"/>
  <c r="Q74" i="18"/>
  <c r="Q75" i="18"/>
  <c r="Q76" i="18"/>
  <c r="Q77" i="18"/>
  <c r="Q78" i="18"/>
  <c r="Q79" i="18"/>
  <c r="Q80" i="18"/>
  <c r="Q81" i="18"/>
  <c r="Q82" i="18"/>
  <c r="Q83" i="18"/>
  <c r="Q84" i="18"/>
  <c r="Q85" i="18"/>
  <c r="Q86" i="18"/>
  <c r="Q87" i="18"/>
  <c r="Q88" i="18"/>
  <c r="Q89" i="18"/>
  <c r="Q90" i="18"/>
  <c r="Q91" i="18"/>
  <c r="Q92" i="18"/>
  <c r="Q93" i="18"/>
  <c r="Q94" i="18"/>
  <c r="Q95" i="18"/>
  <c r="Q96" i="18"/>
  <c r="Q97" i="18"/>
  <c r="Q98" i="18"/>
  <c r="Q99" i="18"/>
  <c r="Q100" i="18"/>
  <c r="Q101" i="18"/>
  <c r="Q102" i="18"/>
  <c r="Q103" i="18"/>
  <c r="Q104" i="18"/>
  <c r="Q105" i="18"/>
  <c r="Q106" i="18"/>
  <c r="Q107" i="18"/>
  <c r="Q108" i="18"/>
  <c r="Q109" i="18"/>
  <c r="Q110" i="18"/>
  <c r="Q111" i="18"/>
  <c r="Q112" i="18"/>
  <c r="Q113" i="18"/>
  <c r="Q114" i="18"/>
  <c r="Q115" i="18"/>
  <c r="Q116" i="18"/>
  <c r="Q117" i="18"/>
  <c r="Q118" i="18"/>
  <c r="Q119" i="18"/>
  <c r="Q120" i="18"/>
  <c r="Q121" i="18"/>
  <c r="Q122" i="18"/>
  <c r="Q123" i="18"/>
  <c r="Q124" i="18"/>
  <c r="Q125" i="18"/>
  <c r="Q126" i="18"/>
  <c r="Q127" i="18"/>
  <c r="Q128" i="18"/>
  <c r="Q129" i="18"/>
  <c r="Q130" i="18"/>
  <c r="Q131" i="18"/>
  <c r="Q132" i="18"/>
  <c r="Q133" i="18"/>
  <c r="Q134" i="18"/>
  <c r="Q135" i="18"/>
  <c r="Q136" i="18"/>
  <c r="Q137" i="18"/>
  <c r="Q138" i="18"/>
  <c r="Q140" i="18"/>
  <c r="Q141" i="18"/>
  <c r="Q142" i="18"/>
  <c r="Q143" i="18"/>
  <c r="Q144" i="18"/>
  <c r="Q145" i="18"/>
  <c r="Q146" i="18"/>
  <c r="Q147" i="18"/>
  <c r="Q148" i="18"/>
  <c r="Q149" i="18"/>
  <c r="Q150" i="18"/>
  <c r="Q151" i="18"/>
  <c r="Q152" i="18"/>
  <c r="Q153" i="18"/>
  <c r="Q154" i="18"/>
  <c r="Q155" i="18"/>
  <c r="Q156" i="18"/>
  <c r="Q157" i="18"/>
  <c r="Q158" i="18"/>
  <c r="Q159" i="18"/>
  <c r="Q160" i="18"/>
  <c r="Q161" i="18"/>
  <c r="Q162" i="18"/>
  <c r="Q163" i="18"/>
  <c r="Q164" i="18"/>
  <c r="Q165" i="18"/>
  <c r="Q166" i="18"/>
  <c r="Q167" i="18"/>
  <c r="Q168" i="18"/>
  <c r="Q169" i="18"/>
  <c r="Q170" i="18"/>
  <c r="Q171" i="18"/>
  <c r="Q172" i="18"/>
  <c r="Q173" i="18"/>
  <c r="Q174" i="18"/>
  <c r="Q175" i="18"/>
  <c r="Q176" i="18"/>
  <c r="Q177" i="18"/>
  <c r="Q178" i="18"/>
  <c r="Q179" i="18"/>
  <c r="Q180" i="18"/>
  <c r="Q181" i="18"/>
  <c r="Q182" i="18"/>
  <c r="Q183" i="18"/>
  <c r="Q184" i="18"/>
  <c r="Q185" i="18"/>
  <c r="Q186" i="18"/>
  <c r="Q187" i="18"/>
  <c r="Q188" i="18"/>
  <c r="Q189" i="18"/>
  <c r="Q190" i="18"/>
  <c r="Q191" i="18"/>
  <c r="Q192" i="18"/>
  <c r="Q193" i="18"/>
  <c r="Q194" i="18"/>
  <c r="Q195" i="18"/>
  <c r="Q196" i="18"/>
  <c r="Q197" i="18"/>
  <c r="Q198" i="18"/>
  <c r="Q199" i="18"/>
  <c r="Q200" i="18"/>
  <c r="Q201" i="18"/>
  <c r="Q202" i="18"/>
  <c r="Q203" i="18"/>
  <c r="Q204" i="18"/>
  <c r="Q205" i="18"/>
  <c r="Q206" i="18"/>
  <c r="Q207" i="18"/>
  <c r="Q208" i="18"/>
  <c r="Q209" i="18"/>
  <c r="Q210" i="18"/>
  <c r="Q211" i="18"/>
  <c r="Q212" i="18"/>
  <c r="Q213" i="18"/>
  <c r="Q214" i="18"/>
  <c r="Q215" i="18"/>
  <c r="Q216" i="18"/>
  <c r="Q217" i="18"/>
  <c r="Q218" i="18"/>
  <c r="Q219" i="18"/>
  <c r="Q220" i="18"/>
  <c r="Q221" i="18"/>
  <c r="Q222" i="18"/>
  <c r="Q223" i="18"/>
  <c r="Q224" i="18"/>
  <c r="Q225" i="18"/>
  <c r="Q226" i="18"/>
  <c r="Q227" i="18"/>
  <c r="Q228" i="18"/>
  <c r="Q229" i="18"/>
  <c r="Q230" i="18"/>
  <c r="Q254" i="18"/>
  <c r="P10" i="18"/>
  <c r="P11" i="18"/>
  <c r="P12" i="18"/>
  <c r="P13" i="18"/>
  <c r="P14" i="18"/>
  <c r="P15" i="18"/>
  <c r="P16" i="18"/>
  <c r="P17" i="18"/>
  <c r="P18" i="18"/>
  <c r="P19" i="18"/>
  <c r="P20" i="18"/>
  <c r="P21" i="18"/>
  <c r="P22" i="18"/>
  <c r="P23" i="18"/>
  <c r="P24" i="18"/>
  <c r="P25" i="18"/>
  <c r="P26" i="18"/>
  <c r="P27" i="18"/>
  <c r="P28" i="18"/>
  <c r="P29" i="18"/>
  <c r="P30" i="18"/>
  <c r="P31" i="18"/>
  <c r="P32" i="18"/>
  <c r="P33" i="18"/>
  <c r="P34" i="18"/>
  <c r="P35" i="18"/>
  <c r="P36" i="18"/>
  <c r="P37" i="18"/>
  <c r="P38" i="18"/>
  <c r="P39" i="18"/>
  <c r="P40" i="18"/>
  <c r="P41" i="18"/>
  <c r="P42" i="18"/>
  <c r="P43" i="18"/>
  <c r="P44" i="18"/>
  <c r="P45" i="18"/>
  <c r="P46" i="18"/>
  <c r="P47" i="18"/>
  <c r="P48" i="18"/>
  <c r="P49" i="18"/>
  <c r="P50" i="18"/>
  <c r="P51" i="18"/>
  <c r="P52" i="18"/>
  <c r="P53" i="18"/>
  <c r="P54" i="18"/>
  <c r="P55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71" i="18"/>
  <c r="P72" i="18"/>
  <c r="P73" i="18"/>
  <c r="P74" i="18"/>
  <c r="P75" i="18"/>
  <c r="P76" i="18"/>
  <c r="P77" i="18"/>
  <c r="P78" i="18"/>
  <c r="P79" i="18"/>
  <c r="P80" i="18"/>
  <c r="P81" i="18"/>
  <c r="P82" i="18"/>
  <c r="P83" i="18"/>
  <c r="P84" i="18"/>
  <c r="P85" i="18"/>
  <c r="P86" i="18"/>
  <c r="P87" i="18"/>
  <c r="P88" i="18"/>
  <c r="P89" i="18"/>
  <c r="P90" i="18"/>
  <c r="P91" i="18"/>
  <c r="P92" i="18"/>
  <c r="P93" i="18"/>
  <c r="P94" i="18"/>
  <c r="P95" i="18"/>
  <c r="P96" i="18"/>
  <c r="P97" i="18"/>
  <c r="P98" i="18"/>
  <c r="P99" i="18"/>
  <c r="P100" i="18"/>
  <c r="P101" i="18"/>
  <c r="P102" i="18"/>
  <c r="P103" i="18"/>
  <c r="P104" i="18"/>
  <c r="P105" i="18"/>
  <c r="P106" i="18"/>
  <c r="P107" i="18"/>
  <c r="P108" i="18"/>
  <c r="P109" i="18"/>
  <c r="P110" i="18"/>
  <c r="P111" i="18"/>
  <c r="P112" i="18"/>
  <c r="P113" i="18"/>
  <c r="P114" i="18"/>
  <c r="P115" i="18"/>
  <c r="P116" i="18"/>
  <c r="P117" i="18"/>
  <c r="P118" i="18"/>
  <c r="P119" i="18"/>
  <c r="P120" i="18"/>
  <c r="P121" i="18"/>
  <c r="P122" i="18"/>
  <c r="P123" i="18"/>
  <c r="P124" i="18"/>
  <c r="P125" i="18"/>
  <c r="P126" i="18"/>
  <c r="P127" i="18"/>
  <c r="P128" i="18"/>
  <c r="P129" i="18"/>
  <c r="P130" i="18"/>
  <c r="P131" i="18"/>
  <c r="P132" i="18"/>
  <c r="P133" i="18"/>
  <c r="P134" i="18"/>
  <c r="P135" i="18"/>
  <c r="P136" i="18"/>
  <c r="P137" i="18"/>
  <c r="P138" i="18"/>
  <c r="P140" i="18"/>
  <c r="P141" i="18"/>
  <c r="P142" i="18"/>
  <c r="P143" i="18"/>
  <c r="P144" i="18"/>
  <c r="P145" i="18"/>
  <c r="P146" i="18"/>
  <c r="P147" i="18"/>
  <c r="P148" i="18"/>
  <c r="P149" i="18"/>
  <c r="P150" i="18"/>
  <c r="P151" i="18"/>
  <c r="P152" i="18"/>
  <c r="P153" i="18"/>
  <c r="P154" i="18"/>
  <c r="P155" i="18"/>
  <c r="P156" i="18"/>
  <c r="P157" i="18"/>
  <c r="P158" i="18"/>
  <c r="P159" i="18"/>
  <c r="P160" i="18"/>
  <c r="P161" i="18"/>
  <c r="P162" i="18"/>
  <c r="P163" i="18"/>
  <c r="P164" i="18"/>
  <c r="P165" i="18"/>
  <c r="P166" i="18"/>
  <c r="P167" i="18"/>
  <c r="P168" i="18"/>
  <c r="P169" i="18"/>
  <c r="P170" i="18"/>
  <c r="P171" i="18"/>
  <c r="P172" i="18"/>
  <c r="P173" i="18"/>
  <c r="P174" i="18"/>
  <c r="P175" i="18"/>
  <c r="P176" i="18"/>
  <c r="P177" i="18"/>
  <c r="P178" i="18"/>
  <c r="P179" i="18"/>
  <c r="P180" i="18"/>
  <c r="P181" i="18"/>
  <c r="P182" i="18"/>
  <c r="P183" i="18"/>
  <c r="P184" i="18"/>
  <c r="P185" i="18"/>
  <c r="P186" i="18"/>
  <c r="P187" i="18"/>
  <c r="P188" i="18"/>
  <c r="P189" i="18"/>
  <c r="P190" i="18"/>
  <c r="P191" i="18"/>
  <c r="P192" i="18"/>
  <c r="P193" i="18"/>
  <c r="P194" i="18"/>
  <c r="P195" i="18"/>
  <c r="P196" i="18"/>
  <c r="P197" i="18"/>
  <c r="P198" i="18"/>
  <c r="P199" i="18"/>
  <c r="P200" i="18"/>
  <c r="P201" i="18"/>
  <c r="P202" i="18"/>
  <c r="P203" i="18"/>
  <c r="P204" i="18"/>
  <c r="P205" i="18"/>
  <c r="P206" i="18"/>
  <c r="P207" i="18"/>
  <c r="P208" i="18"/>
  <c r="P209" i="18"/>
  <c r="P210" i="18"/>
  <c r="P211" i="18"/>
  <c r="P212" i="18"/>
  <c r="P213" i="18"/>
  <c r="P214" i="18"/>
  <c r="P215" i="18"/>
  <c r="P216" i="18"/>
  <c r="P217" i="18"/>
  <c r="P218" i="18"/>
  <c r="P219" i="18"/>
  <c r="P220" i="18"/>
  <c r="P221" i="18"/>
  <c r="P222" i="18"/>
  <c r="P223" i="18"/>
  <c r="P224" i="18"/>
  <c r="P225" i="18"/>
  <c r="P226" i="18"/>
  <c r="P227" i="18"/>
  <c r="P228" i="18"/>
  <c r="P229" i="18"/>
  <c r="P230" i="18"/>
  <c r="P254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O48" i="18"/>
  <c r="O49" i="18"/>
  <c r="O50" i="18"/>
  <c r="O51" i="18"/>
  <c r="O52" i="18"/>
  <c r="O53" i="18"/>
  <c r="O54" i="18"/>
  <c r="O55" i="18"/>
  <c r="O56" i="18"/>
  <c r="O57" i="18"/>
  <c r="O58" i="18"/>
  <c r="O59" i="18"/>
  <c r="O60" i="18"/>
  <c r="O61" i="18"/>
  <c r="O62" i="18"/>
  <c r="O63" i="18"/>
  <c r="O64" i="18"/>
  <c r="O65" i="18"/>
  <c r="O66" i="18"/>
  <c r="O67" i="18"/>
  <c r="O68" i="18"/>
  <c r="O69" i="18"/>
  <c r="O70" i="18"/>
  <c r="O71" i="18"/>
  <c r="O72" i="18"/>
  <c r="O73" i="18"/>
  <c r="O74" i="18"/>
  <c r="O75" i="18"/>
  <c r="O76" i="18"/>
  <c r="O77" i="18"/>
  <c r="O78" i="18"/>
  <c r="O79" i="18"/>
  <c r="O80" i="18"/>
  <c r="O81" i="18"/>
  <c r="O82" i="18"/>
  <c r="O83" i="18"/>
  <c r="O84" i="18"/>
  <c r="O85" i="18"/>
  <c r="O86" i="18"/>
  <c r="O87" i="18"/>
  <c r="O88" i="18"/>
  <c r="O89" i="18"/>
  <c r="O90" i="18"/>
  <c r="O91" i="18"/>
  <c r="O92" i="18"/>
  <c r="O93" i="18"/>
  <c r="O94" i="18"/>
  <c r="O95" i="18"/>
  <c r="O96" i="18"/>
  <c r="O97" i="18"/>
  <c r="O98" i="18"/>
  <c r="O99" i="18"/>
  <c r="O100" i="18"/>
  <c r="O101" i="18"/>
  <c r="O102" i="18"/>
  <c r="O103" i="18"/>
  <c r="O104" i="18"/>
  <c r="O105" i="18"/>
  <c r="O106" i="18"/>
  <c r="O107" i="18"/>
  <c r="O108" i="18"/>
  <c r="O109" i="18"/>
  <c r="O110" i="18"/>
  <c r="O111" i="18"/>
  <c r="O112" i="18"/>
  <c r="O113" i="18"/>
  <c r="O114" i="18"/>
  <c r="O115" i="18"/>
  <c r="O116" i="18"/>
  <c r="O117" i="18"/>
  <c r="O118" i="18"/>
  <c r="O119" i="18"/>
  <c r="O120" i="18"/>
  <c r="O121" i="18"/>
  <c r="O122" i="18"/>
  <c r="O123" i="18"/>
  <c r="O124" i="18"/>
  <c r="O125" i="18"/>
  <c r="O126" i="18"/>
  <c r="O127" i="18"/>
  <c r="O128" i="18"/>
  <c r="O129" i="18"/>
  <c r="O130" i="18"/>
  <c r="O131" i="18"/>
  <c r="O132" i="18"/>
  <c r="O133" i="18"/>
  <c r="O134" i="18"/>
  <c r="O135" i="18"/>
  <c r="O136" i="18"/>
  <c r="O137" i="18"/>
  <c r="O138" i="18"/>
  <c r="O140" i="18"/>
  <c r="O141" i="18"/>
  <c r="O142" i="18"/>
  <c r="O143" i="18"/>
  <c r="O144" i="18"/>
  <c r="O145" i="18"/>
  <c r="O146" i="18"/>
  <c r="O147" i="18"/>
  <c r="O148" i="18"/>
  <c r="O149" i="18"/>
  <c r="O150" i="18"/>
  <c r="O151" i="18"/>
  <c r="O152" i="18"/>
  <c r="O153" i="18"/>
  <c r="O154" i="18"/>
  <c r="O155" i="18"/>
  <c r="O156" i="18"/>
  <c r="O157" i="18"/>
  <c r="O158" i="18"/>
  <c r="O159" i="18"/>
  <c r="O160" i="18"/>
  <c r="O161" i="18"/>
  <c r="O162" i="18"/>
  <c r="O163" i="18"/>
  <c r="O164" i="18"/>
  <c r="O165" i="18"/>
  <c r="O166" i="18"/>
  <c r="O167" i="18"/>
  <c r="O168" i="18"/>
  <c r="O169" i="18"/>
  <c r="O170" i="18"/>
  <c r="O171" i="18"/>
  <c r="O172" i="18"/>
  <c r="O173" i="18"/>
  <c r="O174" i="18"/>
  <c r="O175" i="18"/>
  <c r="O176" i="18"/>
  <c r="O177" i="18"/>
  <c r="O178" i="18"/>
  <c r="O179" i="18"/>
  <c r="O180" i="18"/>
  <c r="O181" i="18"/>
  <c r="O182" i="18"/>
  <c r="O183" i="18"/>
  <c r="O184" i="18"/>
  <c r="O185" i="18"/>
  <c r="O186" i="18"/>
  <c r="O187" i="18"/>
  <c r="O188" i="18"/>
  <c r="O189" i="18"/>
  <c r="O190" i="18"/>
  <c r="O191" i="18"/>
  <c r="O192" i="18"/>
  <c r="O193" i="18"/>
  <c r="O194" i="18"/>
  <c r="O195" i="18"/>
  <c r="O196" i="18"/>
  <c r="O197" i="18"/>
  <c r="O198" i="18"/>
  <c r="O199" i="18"/>
  <c r="O200" i="18"/>
  <c r="O201" i="18"/>
  <c r="O202" i="18"/>
  <c r="O203" i="18"/>
  <c r="O204" i="18"/>
  <c r="O205" i="18"/>
  <c r="O206" i="18"/>
  <c r="O207" i="18"/>
  <c r="O208" i="18"/>
  <c r="O209" i="18"/>
  <c r="O210" i="18"/>
  <c r="O211" i="18"/>
  <c r="O212" i="18"/>
  <c r="O213" i="18"/>
  <c r="O214" i="18"/>
  <c r="O215" i="18"/>
  <c r="O216" i="18"/>
  <c r="O217" i="18"/>
  <c r="O218" i="18"/>
  <c r="O219" i="18"/>
  <c r="O220" i="18"/>
  <c r="O221" i="18"/>
  <c r="O222" i="18"/>
  <c r="O223" i="18"/>
  <c r="O224" i="18"/>
  <c r="O225" i="18"/>
  <c r="O226" i="18"/>
  <c r="O227" i="18"/>
  <c r="O228" i="18"/>
  <c r="O229" i="18"/>
  <c r="O230" i="18"/>
  <c r="O254" i="18"/>
  <c r="N10" i="18"/>
  <c r="N11" i="18"/>
  <c r="N12" i="18"/>
  <c r="N13" i="18"/>
  <c r="N14" i="18"/>
  <c r="N15" i="18"/>
  <c r="N16" i="18"/>
  <c r="N17" i="18"/>
  <c r="N18" i="18"/>
  <c r="N19" i="18"/>
  <c r="N20" i="18"/>
  <c r="N21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N34" i="18"/>
  <c r="N35" i="18"/>
  <c r="N36" i="18"/>
  <c r="N37" i="18"/>
  <c r="N38" i="18"/>
  <c r="N39" i="18"/>
  <c r="N40" i="18"/>
  <c r="N41" i="18"/>
  <c r="N42" i="18"/>
  <c r="N43" i="18"/>
  <c r="N44" i="18"/>
  <c r="N45" i="18"/>
  <c r="N46" i="18"/>
  <c r="N47" i="18"/>
  <c r="N48" i="18"/>
  <c r="N49" i="18"/>
  <c r="N50" i="18"/>
  <c r="N51" i="18"/>
  <c r="N52" i="18"/>
  <c r="N53" i="18"/>
  <c r="N54" i="18"/>
  <c r="N55" i="18"/>
  <c r="N56" i="18"/>
  <c r="N57" i="18"/>
  <c r="N58" i="18"/>
  <c r="N59" i="18"/>
  <c r="N60" i="18"/>
  <c r="N61" i="18"/>
  <c r="N62" i="18"/>
  <c r="N63" i="18"/>
  <c r="N64" i="18"/>
  <c r="N65" i="18"/>
  <c r="N66" i="18"/>
  <c r="N67" i="18"/>
  <c r="N68" i="18"/>
  <c r="N69" i="18"/>
  <c r="N70" i="18"/>
  <c r="N71" i="18"/>
  <c r="N72" i="18"/>
  <c r="N73" i="18"/>
  <c r="N74" i="18"/>
  <c r="N75" i="18"/>
  <c r="N76" i="18"/>
  <c r="N77" i="18"/>
  <c r="N78" i="18"/>
  <c r="N79" i="18"/>
  <c r="N80" i="18"/>
  <c r="N81" i="18"/>
  <c r="N82" i="18"/>
  <c r="N83" i="18"/>
  <c r="N84" i="18"/>
  <c r="N85" i="18"/>
  <c r="N86" i="18"/>
  <c r="N87" i="18"/>
  <c r="N88" i="18"/>
  <c r="N89" i="18"/>
  <c r="N90" i="18"/>
  <c r="N91" i="18"/>
  <c r="N92" i="18"/>
  <c r="N93" i="18"/>
  <c r="N94" i="18"/>
  <c r="N95" i="18"/>
  <c r="N96" i="18"/>
  <c r="N97" i="18"/>
  <c r="N98" i="18"/>
  <c r="N99" i="18"/>
  <c r="N100" i="18"/>
  <c r="N101" i="18"/>
  <c r="N102" i="18"/>
  <c r="N103" i="18"/>
  <c r="N104" i="18"/>
  <c r="N105" i="18"/>
  <c r="N106" i="18"/>
  <c r="N107" i="18"/>
  <c r="N108" i="18"/>
  <c r="N109" i="18"/>
  <c r="N110" i="18"/>
  <c r="N111" i="18"/>
  <c r="N112" i="18"/>
  <c r="N113" i="18"/>
  <c r="N114" i="18"/>
  <c r="N115" i="18"/>
  <c r="N116" i="18"/>
  <c r="N117" i="18"/>
  <c r="N118" i="18"/>
  <c r="N119" i="18"/>
  <c r="N120" i="18"/>
  <c r="N121" i="18"/>
  <c r="N122" i="18"/>
  <c r="N123" i="18"/>
  <c r="N124" i="18"/>
  <c r="N125" i="18"/>
  <c r="N126" i="18"/>
  <c r="N127" i="18"/>
  <c r="N128" i="18"/>
  <c r="N129" i="18"/>
  <c r="N130" i="18"/>
  <c r="N131" i="18"/>
  <c r="N132" i="18"/>
  <c r="N133" i="18"/>
  <c r="N134" i="18"/>
  <c r="N135" i="18"/>
  <c r="N136" i="18"/>
  <c r="N137" i="18"/>
  <c r="N138" i="18"/>
  <c r="N140" i="18"/>
  <c r="N141" i="18"/>
  <c r="N142" i="18"/>
  <c r="N143" i="18"/>
  <c r="N144" i="18"/>
  <c r="N145" i="18"/>
  <c r="N146" i="18"/>
  <c r="N147" i="18"/>
  <c r="N148" i="18"/>
  <c r="N149" i="18"/>
  <c r="N150" i="18"/>
  <c r="N151" i="18"/>
  <c r="N152" i="18"/>
  <c r="N153" i="18"/>
  <c r="N154" i="18"/>
  <c r="N155" i="18"/>
  <c r="N156" i="18"/>
  <c r="N157" i="18"/>
  <c r="N158" i="18"/>
  <c r="N159" i="18"/>
  <c r="N160" i="18"/>
  <c r="N161" i="18"/>
  <c r="N162" i="18"/>
  <c r="N163" i="18"/>
  <c r="N164" i="18"/>
  <c r="N165" i="18"/>
  <c r="N166" i="18"/>
  <c r="N167" i="18"/>
  <c r="N168" i="18"/>
  <c r="N169" i="18"/>
  <c r="N170" i="18"/>
  <c r="N171" i="18"/>
  <c r="N172" i="18"/>
  <c r="N173" i="18"/>
  <c r="N174" i="18"/>
  <c r="N175" i="18"/>
  <c r="N176" i="18"/>
  <c r="N177" i="18"/>
  <c r="N178" i="18"/>
  <c r="N179" i="18"/>
  <c r="N180" i="18"/>
  <c r="N181" i="18"/>
  <c r="N182" i="18"/>
  <c r="N183" i="18"/>
  <c r="N184" i="18"/>
  <c r="N185" i="18"/>
  <c r="N186" i="18"/>
  <c r="N187" i="18"/>
  <c r="N188" i="18"/>
  <c r="N189" i="18"/>
  <c r="N190" i="18"/>
  <c r="N191" i="18"/>
  <c r="N192" i="18"/>
  <c r="N193" i="18"/>
  <c r="N194" i="18"/>
  <c r="N195" i="18"/>
  <c r="N196" i="18"/>
  <c r="N197" i="18"/>
  <c r="N198" i="18"/>
  <c r="N199" i="18"/>
  <c r="N200" i="18"/>
  <c r="N201" i="18"/>
  <c r="N202" i="18"/>
  <c r="N203" i="18"/>
  <c r="N204" i="18"/>
  <c r="N205" i="18"/>
  <c r="N206" i="18"/>
  <c r="N207" i="18"/>
  <c r="N208" i="18"/>
  <c r="N209" i="18"/>
  <c r="N210" i="18"/>
  <c r="N211" i="18"/>
  <c r="N212" i="18"/>
  <c r="N213" i="18"/>
  <c r="N214" i="18"/>
  <c r="N215" i="18"/>
  <c r="N216" i="18"/>
  <c r="N217" i="18"/>
  <c r="N218" i="18"/>
  <c r="N219" i="18"/>
  <c r="N220" i="18"/>
  <c r="N221" i="18"/>
  <c r="N222" i="18"/>
  <c r="N223" i="18"/>
  <c r="N224" i="18"/>
  <c r="N225" i="18"/>
  <c r="N226" i="18"/>
  <c r="N227" i="18"/>
  <c r="N228" i="18"/>
  <c r="N229" i="18"/>
  <c r="N230" i="18"/>
  <c r="N254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54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7" i="18"/>
  <c r="L58" i="18"/>
  <c r="L59" i="18"/>
  <c r="L60" i="18"/>
  <c r="L61" i="18"/>
  <c r="L62" i="18"/>
  <c r="L63" i="18"/>
  <c r="L64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1" i="18"/>
  <c r="L92" i="18"/>
  <c r="L93" i="18"/>
  <c r="L94" i="18"/>
  <c r="L95" i="18"/>
  <c r="L96" i="18"/>
  <c r="L97" i="18"/>
  <c r="L98" i="18"/>
  <c r="L99" i="18"/>
  <c r="L100" i="18"/>
  <c r="L101" i="18"/>
  <c r="L102" i="18"/>
  <c r="L103" i="18"/>
  <c r="L104" i="18"/>
  <c r="L105" i="18"/>
  <c r="L106" i="18"/>
  <c r="L107" i="18"/>
  <c r="L108" i="18"/>
  <c r="L109" i="18"/>
  <c r="L110" i="18"/>
  <c r="L111" i="18"/>
  <c r="L112" i="18"/>
  <c r="L113" i="18"/>
  <c r="L114" i="18"/>
  <c r="L115" i="18"/>
  <c r="L116" i="18"/>
  <c r="L117" i="18"/>
  <c r="L118" i="18"/>
  <c r="L119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5" i="18"/>
  <c r="L136" i="18"/>
  <c r="L137" i="18"/>
  <c r="L138" i="18"/>
  <c r="L140" i="18"/>
  <c r="L141" i="18"/>
  <c r="L142" i="18"/>
  <c r="L143" i="18"/>
  <c r="L144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3" i="18"/>
  <c r="L174" i="18"/>
  <c r="L175" i="18"/>
  <c r="L176" i="18"/>
  <c r="L177" i="18"/>
  <c r="L178" i="18"/>
  <c r="L179" i="18"/>
  <c r="L180" i="18"/>
  <c r="L181" i="18"/>
  <c r="L182" i="18"/>
  <c r="L183" i="18"/>
  <c r="L184" i="18"/>
  <c r="L185" i="18"/>
  <c r="L186" i="18"/>
  <c r="L187" i="18"/>
  <c r="L188" i="18"/>
  <c r="L189" i="18"/>
  <c r="L190" i="18"/>
  <c r="L191" i="18"/>
  <c r="L192" i="18"/>
  <c r="L193" i="18"/>
  <c r="L194" i="18"/>
  <c r="L195" i="18"/>
  <c r="L196" i="18"/>
  <c r="L197" i="18"/>
  <c r="L198" i="18"/>
  <c r="L199" i="18"/>
  <c r="L200" i="18"/>
  <c r="L201" i="18"/>
  <c r="L202" i="18"/>
  <c r="L203" i="18"/>
  <c r="L204" i="18"/>
  <c r="L205" i="18"/>
  <c r="L206" i="18"/>
  <c r="L207" i="18"/>
  <c r="L208" i="18"/>
  <c r="L209" i="18"/>
  <c r="L210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25" i="18"/>
  <c r="L226" i="18"/>
  <c r="L227" i="18"/>
  <c r="L228" i="18"/>
  <c r="L229" i="18"/>
  <c r="L230" i="18"/>
  <c r="L254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K110" i="18"/>
  <c r="K111" i="18"/>
  <c r="K112" i="18"/>
  <c r="K113" i="18"/>
  <c r="K114" i="18"/>
  <c r="K115" i="18"/>
  <c r="K116" i="18"/>
  <c r="K117" i="18"/>
  <c r="K118" i="18"/>
  <c r="K119" i="18"/>
  <c r="K120" i="18"/>
  <c r="K121" i="18"/>
  <c r="K122" i="18"/>
  <c r="K123" i="18"/>
  <c r="K124" i="18"/>
  <c r="K125" i="18"/>
  <c r="K126" i="18"/>
  <c r="K127" i="18"/>
  <c r="K128" i="18"/>
  <c r="K129" i="18"/>
  <c r="K130" i="18"/>
  <c r="K131" i="18"/>
  <c r="K132" i="18"/>
  <c r="K133" i="18"/>
  <c r="K134" i="18"/>
  <c r="K135" i="18"/>
  <c r="K136" i="18"/>
  <c r="K137" i="18"/>
  <c r="K138" i="18"/>
  <c r="K140" i="18"/>
  <c r="K141" i="18"/>
  <c r="K142" i="18"/>
  <c r="K143" i="18"/>
  <c r="K144" i="18"/>
  <c r="K145" i="18"/>
  <c r="K146" i="18"/>
  <c r="K147" i="18"/>
  <c r="K148" i="18"/>
  <c r="K149" i="18"/>
  <c r="K150" i="18"/>
  <c r="K151" i="18"/>
  <c r="K152" i="18"/>
  <c r="K153" i="18"/>
  <c r="K154" i="18"/>
  <c r="K155" i="18"/>
  <c r="K156" i="18"/>
  <c r="K157" i="18"/>
  <c r="K158" i="18"/>
  <c r="K159" i="18"/>
  <c r="K160" i="18"/>
  <c r="K161" i="18"/>
  <c r="K162" i="18"/>
  <c r="K163" i="18"/>
  <c r="K164" i="18"/>
  <c r="K165" i="18"/>
  <c r="K166" i="18"/>
  <c r="K167" i="18"/>
  <c r="K168" i="18"/>
  <c r="K169" i="18"/>
  <c r="K170" i="18"/>
  <c r="K171" i="18"/>
  <c r="K172" i="18"/>
  <c r="K173" i="18"/>
  <c r="K174" i="18"/>
  <c r="K175" i="18"/>
  <c r="K176" i="18"/>
  <c r="K177" i="18"/>
  <c r="K178" i="18"/>
  <c r="K179" i="18"/>
  <c r="K180" i="18"/>
  <c r="K181" i="18"/>
  <c r="K182" i="18"/>
  <c r="K183" i="18"/>
  <c r="K184" i="18"/>
  <c r="K185" i="18"/>
  <c r="K186" i="18"/>
  <c r="K187" i="18"/>
  <c r="K188" i="18"/>
  <c r="K189" i="18"/>
  <c r="K190" i="18"/>
  <c r="K191" i="18"/>
  <c r="K192" i="18"/>
  <c r="K193" i="18"/>
  <c r="K194" i="18"/>
  <c r="K195" i="18"/>
  <c r="K196" i="18"/>
  <c r="K197" i="18"/>
  <c r="K198" i="18"/>
  <c r="K199" i="18"/>
  <c r="K200" i="18"/>
  <c r="K201" i="18"/>
  <c r="K202" i="18"/>
  <c r="K203" i="18"/>
  <c r="K204" i="18"/>
  <c r="K205" i="18"/>
  <c r="K206" i="18"/>
  <c r="K207" i="18"/>
  <c r="K208" i="18"/>
  <c r="K209" i="18"/>
  <c r="K210" i="18"/>
  <c r="K211" i="18"/>
  <c r="K212" i="18"/>
  <c r="K213" i="18"/>
  <c r="K214" i="18"/>
  <c r="K215" i="18"/>
  <c r="K216" i="18"/>
  <c r="K217" i="18"/>
  <c r="K218" i="18"/>
  <c r="K219" i="18"/>
  <c r="K220" i="18"/>
  <c r="K221" i="18"/>
  <c r="K222" i="18"/>
  <c r="K223" i="18"/>
  <c r="K224" i="18"/>
  <c r="K225" i="18"/>
  <c r="K226" i="18"/>
  <c r="K227" i="18"/>
  <c r="K228" i="18"/>
  <c r="K229" i="18"/>
  <c r="K230" i="18"/>
  <c r="K254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54" i="18"/>
  <c r="AA254" i="18"/>
  <c r="Z230" i="18"/>
  <c r="Z229" i="18"/>
  <c r="Z228" i="18"/>
  <c r="Z227" i="18"/>
  <c r="Z226" i="18"/>
  <c r="Z225" i="18"/>
  <c r="Z224" i="18"/>
  <c r="Z223" i="18"/>
  <c r="Z222" i="18"/>
  <c r="Z221" i="18"/>
  <c r="Z220" i="18"/>
  <c r="Z219" i="18"/>
  <c r="Z218" i="18"/>
  <c r="Z217" i="18"/>
  <c r="Z216" i="18"/>
  <c r="B216" i="18"/>
  <c r="B217" i="18" s="1"/>
  <c r="B218" i="18" s="1"/>
  <c r="B219" i="18" s="1"/>
  <c r="B220" i="18" s="1"/>
  <c r="B221" i="18" s="1"/>
  <c r="B222" i="18" s="1"/>
  <c r="B223" i="18" s="1"/>
  <c r="B224" i="18" s="1"/>
  <c r="B225" i="18" s="1"/>
  <c r="B226" i="18" s="1"/>
  <c r="B227" i="18" s="1"/>
  <c r="B228" i="18" s="1"/>
  <c r="B229" i="18" s="1"/>
  <c r="B230" i="18" s="1"/>
  <c r="B231" i="18" s="1"/>
  <c r="B232" i="18" s="1"/>
  <c r="B233" i="18" s="1"/>
  <c r="B234" i="18" s="1"/>
  <c r="Z215" i="18"/>
  <c r="Z214" i="18"/>
  <c r="Z213" i="18"/>
  <c r="Z212" i="18"/>
  <c r="Z211" i="18"/>
  <c r="Z210" i="18"/>
  <c r="Z209" i="18"/>
  <c r="Z208" i="18"/>
  <c r="Z207" i="18"/>
  <c r="Z206" i="18"/>
  <c r="Z205" i="18"/>
  <c r="Z203" i="18"/>
  <c r="Z202" i="18"/>
  <c r="Z201" i="18"/>
  <c r="Z200" i="18"/>
  <c r="Z199" i="18"/>
  <c r="Z198" i="18"/>
  <c r="Z197" i="18"/>
  <c r="Z196" i="18"/>
  <c r="Z195" i="18"/>
  <c r="W195" i="18"/>
  <c r="Z194" i="18"/>
  <c r="W194" i="18"/>
  <c r="Z193" i="18"/>
  <c r="W193" i="18"/>
  <c r="Z192" i="18"/>
  <c r="Z191" i="18"/>
  <c r="Z190" i="18"/>
  <c r="Z189" i="18"/>
  <c r="Z188" i="18"/>
  <c r="Z187" i="18"/>
  <c r="Z186" i="18"/>
  <c r="Z185" i="18"/>
  <c r="Z176" i="18"/>
  <c r="W176" i="18"/>
  <c r="Z175" i="18"/>
  <c r="W175" i="18"/>
  <c r="Z174" i="18"/>
  <c r="W174" i="18"/>
  <c r="Z173" i="18"/>
  <c r="Z172" i="18"/>
  <c r="Z171" i="18"/>
  <c r="Z154" i="18"/>
  <c r="W154" i="18"/>
  <c r="Z153" i="18"/>
  <c r="W153" i="18"/>
  <c r="Z152" i="18"/>
  <c r="W152" i="18"/>
  <c r="Z151" i="18"/>
  <c r="Z150" i="18"/>
  <c r="Z149" i="18"/>
  <c r="Z124" i="18"/>
  <c r="W124" i="18"/>
  <c r="Z123" i="18"/>
  <c r="W123" i="18"/>
  <c r="Z122" i="18"/>
  <c r="W122" i="18"/>
  <c r="Z121" i="18"/>
  <c r="W121" i="18"/>
  <c r="Z120" i="18"/>
  <c r="W120" i="18"/>
  <c r="Z119" i="18"/>
  <c r="W119" i="18"/>
  <c r="Z118" i="18"/>
  <c r="W118" i="18"/>
  <c r="Z117" i="18"/>
  <c r="W117" i="18"/>
  <c r="Z116" i="18"/>
  <c r="W116" i="18"/>
  <c r="W115" i="18"/>
  <c r="W114" i="18"/>
  <c r="W113" i="18"/>
  <c r="W112" i="18"/>
  <c r="W111" i="18"/>
  <c r="W110" i="18"/>
  <c r="B110" i="18"/>
  <c r="B111" i="18" s="1"/>
  <c r="B112" i="18" s="1"/>
  <c r="B113" i="18" s="1"/>
  <c r="B114" i="18" s="1"/>
  <c r="B115" i="18" s="1"/>
  <c r="B116" i="18" s="1"/>
  <c r="B117" i="18" s="1"/>
  <c r="B118" i="18" s="1"/>
  <c r="B119" i="18" s="1"/>
  <c r="B120" i="18" s="1"/>
  <c r="B121" i="18" s="1"/>
  <c r="B122" i="18" s="1"/>
  <c r="B123" i="18" s="1"/>
  <c r="B124" i="18" s="1"/>
  <c r="B125" i="18" s="1"/>
  <c r="B126" i="18" s="1"/>
  <c r="B127" i="18" s="1"/>
  <c r="B128" i="18" s="1"/>
  <c r="B129" i="18" s="1"/>
  <c r="B130" i="18" s="1"/>
  <c r="B131" i="18" s="1"/>
  <c r="B132" i="18" s="1"/>
  <c r="B133" i="18" s="1"/>
  <c r="B134" i="18" s="1"/>
  <c r="B135" i="18" s="1"/>
  <c r="B136" i="18" s="1"/>
  <c r="B137" i="18" s="1"/>
  <c r="B138" i="18" s="1"/>
  <c r="B142" i="18" s="1"/>
  <c r="B143" i="18" s="1"/>
  <c r="B144" i="18" s="1"/>
  <c r="B145" i="18" s="1"/>
  <c r="B146" i="18" s="1"/>
  <c r="B147" i="18" s="1"/>
  <c r="B148" i="18" s="1"/>
  <c r="B149" i="18" s="1"/>
  <c r="B150" i="18" s="1"/>
  <c r="B151" i="18" s="1"/>
  <c r="B152" i="18" s="1"/>
  <c r="B153" i="18" s="1"/>
  <c r="B154" i="18" s="1"/>
  <c r="B155" i="18" s="1"/>
  <c r="B156" i="18" s="1"/>
  <c r="B157" i="18" s="1"/>
  <c r="B158" i="18" s="1"/>
  <c r="B159" i="18" s="1"/>
  <c r="B160" i="18" s="1"/>
  <c r="B161" i="18" s="1"/>
  <c r="B162" i="18" s="1"/>
  <c r="B163" i="18" s="1"/>
  <c r="B164" i="18" s="1"/>
  <c r="B165" i="18" s="1"/>
  <c r="B166" i="18" s="1"/>
  <c r="B167" i="18" s="1"/>
  <c r="B168" i="18" s="1"/>
  <c r="B169" i="18" s="1"/>
  <c r="B170" i="18" s="1"/>
  <c r="B171" i="18" s="1"/>
  <c r="B172" i="18" s="1"/>
  <c r="B173" i="18" s="1"/>
  <c r="B174" i="18" s="1"/>
  <c r="B175" i="18" s="1"/>
  <c r="B176" i="18" s="1"/>
  <c r="B177" i="18" s="1"/>
  <c r="B178" i="18" s="1"/>
  <c r="B179" i="18" s="1"/>
  <c r="B180" i="18" s="1"/>
  <c r="B181" i="18" s="1"/>
  <c r="B182" i="18" s="1"/>
  <c r="B183" i="18" s="1"/>
  <c r="B184" i="18" s="1"/>
  <c r="B185" i="18" s="1"/>
  <c r="B186" i="18" s="1"/>
  <c r="B187" i="18" s="1"/>
  <c r="B188" i="18" s="1"/>
  <c r="B189" i="18" s="1"/>
  <c r="B190" i="18" s="1"/>
  <c r="B191" i="18" s="1"/>
  <c r="B192" i="18" s="1"/>
  <c r="B193" i="18" s="1"/>
  <c r="B194" i="18" s="1"/>
  <c r="B195" i="18" s="1"/>
  <c r="B196" i="18" s="1"/>
  <c r="B197" i="18" s="1"/>
  <c r="B198" i="18" s="1"/>
  <c r="B199" i="18" s="1"/>
  <c r="B200" i="18" s="1"/>
  <c r="B201" i="18" s="1"/>
  <c r="B202" i="18" s="1"/>
  <c r="B203" i="18" s="1"/>
  <c r="B204" i="18" s="1"/>
  <c r="B205" i="18" s="1"/>
  <c r="B206" i="18" s="1"/>
  <c r="B207" i="18" s="1"/>
  <c r="B208" i="18" s="1"/>
  <c r="B209" i="18" s="1"/>
  <c r="B210" i="18" s="1"/>
  <c r="B211" i="18" s="1"/>
  <c r="B212" i="18" s="1"/>
  <c r="B213" i="18" s="1"/>
  <c r="B214" i="18" s="1"/>
  <c r="W103" i="18"/>
  <c r="F103" i="18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Z73" i="18"/>
  <c r="Z72" i="18"/>
  <c r="Z71" i="18"/>
  <c r="Z70" i="18"/>
  <c r="Z69" i="18"/>
  <c r="Z68" i="18"/>
  <c r="F67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B11" i="18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B46" i="18" s="1"/>
  <c r="B47" i="18" s="1"/>
  <c r="B48" i="18" s="1"/>
  <c r="B49" i="18" s="1"/>
  <c r="B50" i="18" s="1"/>
  <c r="B51" i="18" s="1"/>
  <c r="B52" i="18" s="1"/>
  <c r="B53" i="18" s="1"/>
  <c r="B54" i="18" s="1"/>
  <c r="B55" i="18" s="1"/>
  <c r="B56" i="18" s="1"/>
  <c r="B57" i="18" s="1"/>
  <c r="B58" i="18" s="1"/>
  <c r="B59" i="18" s="1"/>
  <c r="B60" i="18" s="1"/>
  <c r="B61" i="18" s="1"/>
  <c r="B62" i="18" s="1"/>
  <c r="B63" i="18" s="1"/>
  <c r="B64" i="18" s="1"/>
  <c r="B65" i="18" s="1"/>
  <c r="B66" i="18" s="1"/>
  <c r="B67" i="18" s="1"/>
  <c r="B68" i="18" s="1"/>
  <c r="B69" i="18" s="1"/>
  <c r="B70" i="18" s="1"/>
  <c r="B71" i="18" s="1"/>
  <c r="B72" i="18" s="1"/>
  <c r="B73" i="18" s="1"/>
  <c r="B74" i="18" s="1"/>
  <c r="B75" i="18" s="1"/>
  <c r="B76" i="18" s="1"/>
  <c r="B77" i="18" s="1"/>
  <c r="B78" i="18" s="1"/>
  <c r="B79" i="18" s="1"/>
  <c r="B80" i="18" s="1"/>
  <c r="B81" i="18" s="1"/>
  <c r="B82" i="18" s="1"/>
  <c r="B83" i="18" s="1"/>
  <c r="B84" i="18" s="1"/>
  <c r="B85" i="18" s="1"/>
  <c r="B86" i="18" s="1"/>
  <c r="B87" i="18" s="1"/>
  <c r="B88" i="18" s="1"/>
  <c r="B89" i="18" s="1"/>
  <c r="B90" i="18" s="1"/>
  <c r="B91" i="18" s="1"/>
  <c r="B92" i="18" s="1"/>
  <c r="B93" i="18" s="1"/>
  <c r="B94" i="18" s="1"/>
  <c r="B95" i="18" s="1"/>
  <c r="B96" i="18" s="1"/>
  <c r="B97" i="18" s="1"/>
  <c r="B98" i="18" s="1"/>
  <c r="B99" i="18" s="1"/>
  <c r="B100" i="18" s="1"/>
  <c r="B101" i="18" s="1"/>
  <c r="B102" i="18" s="1"/>
  <c r="B103" i="18" s="1"/>
  <c r="D3" i="18"/>
  <c r="B235" i="18" l="1"/>
  <c r="B236" i="18" s="1"/>
  <c r="B237" i="18" s="1"/>
  <c r="B238" i="18" s="1"/>
  <c r="B239" i="18" s="1"/>
  <c r="B240" i="18" s="1"/>
  <c r="B241" i="18" s="1"/>
  <c r="B242" i="18" s="1"/>
  <c r="B243" i="18" s="1"/>
  <c r="B244" i="18" s="1"/>
  <c r="B245" i="18" s="1"/>
  <c r="B246" i="18" s="1"/>
  <c r="B247" i="18" s="1"/>
  <c r="B248" i="18" s="1"/>
  <c r="B249" i="18" s="1"/>
  <c r="B250" i="18" s="1"/>
  <c r="B251" i="18" s="1"/>
  <c r="B252" i="18" s="1"/>
  <c r="T35" i="18"/>
  <c r="AA35" i="18" s="1"/>
  <c r="T78" i="18"/>
  <c r="X78" i="18" s="1"/>
  <c r="T168" i="18"/>
  <c r="AA168" i="18" s="1"/>
  <c r="T163" i="18"/>
  <c r="Y163" i="18" s="1"/>
  <c r="T114" i="18"/>
  <c r="Y114" i="18" s="1"/>
  <c r="T94" i="18"/>
  <c r="Y94" i="18" s="1"/>
  <c r="T42" i="18"/>
  <c r="AB42" i="18" s="1"/>
  <c r="T30" i="18"/>
  <c r="V30" i="18" s="1"/>
  <c r="T160" i="18"/>
  <c r="AA160" i="18" s="1"/>
  <c r="T148" i="18"/>
  <c r="AB148" i="18" s="1"/>
  <c r="T135" i="18"/>
  <c r="Y135" i="18" s="1"/>
  <c r="T127" i="18"/>
  <c r="AB127" i="18" s="1"/>
  <c r="T123" i="18"/>
  <c r="V123" i="18" s="1"/>
  <c r="T115" i="18"/>
  <c r="V115" i="18" s="1"/>
  <c r="T99" i="18"/>
  <c r="AA99" i="18" s="1"/>
  <c r="T91" i="18"/>
  <c r="AA91" i="18" s="1"/>
  <c r="T83" i="18"/>
  <c r="AB83" i="18" s="1"/>
  <c r="T75" i="18"/>
  <c r="V75" i="18" s="1"/>
  <c r="T71" i="18"/>
  <c r="Y71" i="18" s="1"/>
  <c r="T59" i="18"/>
  <c r="V59" i="18" s="1"/>
  <c r="T51" i="18"/>
  <c r="V51" i="18" s="1"/>
  <c r="T47" i="18"/>
  <c r="AB47" i="18" s="1"/>
  <c r="T39" i="18"/>
  <c r="V39" i="18" s="1"/>
  <c r="T223" i="18"/>
  <c r="Y223" i="18" s="1"/>
  <c r="T195" i="18"/>
  <c r="Y195" i="18" s="1"/>
  <c r="T191" i="18"/>
  <c r="AA191" i="18" s="1"/>
  <c r="T183" i="18"/>
  <c r="AA183" i="18" s="1"/>
  <c r="T179" i="18"/>
  <c r="AA179" i="18" s="1"/>
  <c r="T175" i="18"/>
  <c r="Y175" i="18" s="1"/>
  <c r="T171" i="18"/>
  <c r="Y171" i="18" s="1"/>
  <c r="T155" i="18"/>
  <c r="V155" i="18" s="1"/>
  <c r="T151" i="18"/>
  <c r="Y151" i="18" s="1"/>
  <c r="T143" i="18"/>
  <c r="V143" i="18" s="1"/>
  <c r="T138" i="18"/>
  <c r="V138" i="18" s="1"/>
  <c r="T130" i="18"/>
  <c r="V130" i="18" s="1"/>
  <c r="T102" i="18"/>
  <c r="X102" i="18" s="1"/>
  <c r="T86" i="18"/>
  <c r="AA86" i="18" s="1"/>
  <c r="T66" i="18"/>
  <c r="V66" i="18" s="1"/>
  <c r="T58" i="18"/>
  <c r="Y58" i="18" s="1"/>
  <c r="T50" i="18"/>
  <c r="Y50" i="18" s="1"/>
  <c r="T173" i="18"/>
  <c r="V173" i="18" s="1"/>
  <c r="T141" i="18"/>
  <c r="V141" i="18" s="1"/>
  <c r="T120" i="18"/>
  <c r="X120" i="18" s="1"/>
  <c r="T48" i="18"/>
  <c r="AA48" i="18" s="1"/>
  <c r="T216" i="18"/>
  <c r="V216" i="18" s="1"/>
  <c r="T208" i="18"/>
  <c r="U208" i="18" s="1"/>
  <c r="V208" i="18" s="1"/>
  <c r="T204" i="18"/>
  <c r="U204" i="18" s="1"/>
  <c r="V204" i="18" s="1"/>
  <c r="T200" i="18"/>
  <c r="AB200" i="18" s="1"/>
  <c r="T196" i="18"/>
  <c r="AB196" i="18" s="1"/>
  <c r="T192" i="18"/>
  <c r="AB192" i="18" s="1"/>
  <c r="T188" i="18"/>
  <c r="AA188" i="18" s="1"/>
  <c r="T184" i="18"/>
  <c r="Y184" i="18" s="1"/>
  <c r="T180" i="18"/>
  <c r="V180" i="18" s="1"/>
  <c r="T176" i="18"/>
  <c r="Y176" i="18" s="1"/>
  <c r="T172" i="18"/>
  <c r="AA172" i="18" s="1"/>
  <c r="T164" i="18"/>
  <c r="AA164" i="18" s="1"/>
  <c r="T156" i="18"/>
  <c r="AA156" i="18" s="1"/>
  <c r="T152" i="18"/>
  <c r="Y152" i="18" s="1"/>
  <c r="T144" i="18"/>
  <c r="AA144" i="18" s="1"/>
  <c r="T140" i="18"/>
  <c r="AA140" i="18" s="1"/>
  <c r="T131" i="18"/>
  <c r="V131" i="18" s="1"/>
  <c r="T119" i="18"/>
  <c r="V119" i="18" s="1"/>
  <c r="T111" i="18"/>
  <c r="AA111" i="18" s="1"/>
  <c r="T103" i="18"/>
  <c r="AA103" i="18" s="1"/>
  <c r="T95" i="18"/>
  <c r="AA95" i="18" s="1"/>
  <c r="T87" i="18"/>
  <c r="AA87" i="18" s="1"/>
  <c r="T79" i="18"/>
  <c r="X79" i="18" s="1"/>
  <c r="T67" i="18"/>
  <c r="V67" i="18" s="1"/>
  <c r="T63" i="18"/>
  <c r="V63" i="18" s="1"/>
  <c r="T55" i="18"/>
  <c r="X55" i="18" s="1"/>
  <c r="T43" i="18"/>
  <c r="Y43" i="18" s="1"/>
  <c r="T21" i="18"/>
  <c r="V21" i="18" s="1"/>
  <c r="T52" i="18"/>
  <c r="X52" i="18" s="1"/>
  <c r="T227" i="18"/>
  <c r="X227" i="18" s="1"/>
  <c r="T215" i="18"/>
  <c r="V215" i="18" s="1"/>
  <c r="T207" i="18"/>
  <c r="AB207" i="18" s="1"/>
  <c r="T199" i="18"/>
  <c r="AA199" i="18" s="1"/>
  <c r="T187" i="18"/>
  <c r="AA187" i="18" s="1"/>
  <c r="T167" i="18"/>
  <c r="Y167" i="18" s="1"/>
  <c r="T159" i="18"/>
  <c r="Y159" i="18" s="1"/>
  <c r="T147" i="18"/>
  <c r="Y147" i="18" s="1"/>
  <c r="T134" i="18"/>
  <c r="V134" i="18" s="1"/>
  <c r="T126" i="18"/>
  <c r="V126" i="18" s="1"/>
  <c r="T122" i="18"/>
  <c r="AB122" i="18" s="1"/>
  <c r="T118" i="18"/>
  <c r="AB118" i="18" s="1"/>
  <c r="T110" i="18"/>
  <c r="AB110" i="18" s="1"/>
  <c r="T98" i="18"/>
  <c r="AA98" i="18" s="1"/>
  <c r="T90" i="18"/>
  <c r="AA90" i="18" s="1"/>
  <c r="T82" i="18"/>
  <c r="V82" i="18" s="1"/>
  <c r="T74" i="18"/>
  <c r="AB74" i="18" s="1"/>
  <c r="T70" i="18"/>
  <c r="X70" i="18" s="1"/>
  <c r="T62" i="18"/>
  <c r="V62" i="18" s="1"/>
  <c r="T46" i="18"/>
  <c r="Y46" i="18" s="1"/>
  <c r="T10" i="18"/>
  <c r="AB10" i="18" s="1"/>
  <c r="T219" i="18"/>
  <c r="AB219" i="18" s="1"/>
  <c r="T203" i="18"/>
  <c r="AA203" i="18" s="1"/>
  <c r="T54" i="18"/>
  <c r="Y54" i="18" s="1"/>
  <c r="T13" i="18"/>
  <c r="AA13" i="18" s="1"/>
  <c r="T38" i="18"/>
  <c r="AB38" i="18" s="1"/>
  <c r="T22" i="18"/>
  <c r="AB22" i="18" s="1"/>
  <c r="T211" i="18"/>
  <c r="V211" i="18" s="1"/>
  <c r="T185" i="18"/>
  <c r="AA185" i="18" s="1"/>
  <c r="T84" i="18"/>
  <c r="AA84" i="18" s="1"/>
  <c r="T19" i="18"/>
  <c r="V19" i="18" s="1"/>
  <c r="T34" i="18"/>
  <c r="AB34" i="18" s="1"/>
  <c r="T100" i="18"/>
  <c r="Y100" i="18" s="1"/>
  <c r="T26" i="18"/>
  <c r="AB26" i="18" s="1"/>
  <c r="T23" i="18"/>
  <c r="V23" i="18" s="1"/>
  <c r="T24" i="18"/>
  <c r="AB24" i="18" s="1"/>
  <c r="T20" i="18"/>
  <c r="AB20" i="18" s="1"/>
  <c r="T16" i="18"/>
  <c r="AA16" i="18" s="1"/>
  <c r="T12" i="18"/>
  <c r="X12" i="18" s="1"/>
  <c r="T31" i="18"/>
  <c r="V31" i="18" s="1"/>
  <c r="T27" i="18"/>
  <c r="V27" i="18" s="1"/>
  <c r="T11" i="18"/>
  <c r="V11" i="18" s="1"/>
  <c r="T18" i="18"/>
  <c r="AB18" i="18" s="1"/>
  <c r="T14" i="18"/>
  <c r="AB14" i="18" s="1"/>
  <c r="T17" i="18"/>
  <c r="AB17" i="18" s="1"/>
  <c r="T205" i="18"/>
  <c r="Y205" i="18" s="1"/>
  <c r="T181" i="18"/>
  <c r="AA181" i="18" s="1"/>
  <c r="T169" i="18"/>
  <c r="V169" i="18" s="1"/>
  <c r="T157" i="18"/>
  <c r="Y157" i="18" s="1"/>
  <c r="T149" i="18"/>
  <c r="X149" i="18" s="1"/>
  <c r="T145" i="18"/>
  <c r="X145" i="18" s="1"/>
  <c r="T136" i="18"/>
  <c r="V136" i="18" s="1"/>
  <c r="T132" i="18"/>
  <c r="V132" i="18" s="1"/>
  <c r="T128" i="18"/>
  <c r="V128" i="18" s="1"/>
  <c r="T124" i="18"/>
  <c r="V124" i="18" s="1"/>
  <c r="T116" i="18"/>
  <c r="Y116" i="18" s="1"/>
  <c r="T112" i="18"/>
  <c r="Y112" i="18" s="1"/>
  <c r="T96" i="18"/>
  <c r="Y96" i="18" s="1"/>
  <c r="T92" i="18"/>
  <c r="Y92" i="18" s="1"/>
  <c r="T88" i="18"/>
  <c r="Y88" i="18" s="1"/>
  <c r="T80" i="18"/>
  <c r="V80" i="18" s="1"/>
  <c r="T76" i="18"/>
  <c r="AA76" i="18" s="1"/>
  <c r="T72" i="18"/>
  <c r="X72" i="18" s="1"/>
  <c r="T68" i="18"/>
  <c r="X68" i="18" s="1"/>
  <c r="T64" i="18"/>
  <c r="AB64" i="18" s="1"/>
  <c r="T60" i="18"/>
  <c r="AA60" i="18" s="1"/>
  <c r="T56" i="18"/>
  <c r="X56" i="18" s="1"/>
  <c r="T44" i="18"/>
  <c r="AB44" i="18" s="1"/>
  <c r="T40" i="18"/>
  <c r="V40" i="18" s="1"/>
  <c r="T36" i="18"/>
  <c r="V36" i="18" s="1"/>
  <c r="T224" i="18"/>
  <c r="V224" i="18" s="1"/>
  <c r="T15" i="18"/>
  <c r="V15" i="18" s="1"/>
  <c r="T32" i="18"/>
  <c r="AA32" i="18" s="1"/>
  <c r="T28" i="18"/>
  <c r="X28" i="18" s="1"/>
  <c r="T49" i="18"/>
  <c r="V49" i="18" s="1"/>
  <c r="T41" i="18"/>
  <c r="AB41" i="18" s="1"/>
  <c r="T37" i="18"/>
  <c r="AA37" i="18" s="1"/>
  <c r="T77" i="18"/>
  <c r="X77" i="18" s="1"/>
  <c r="T73" i="18"/>
  <c r="Y73" i="18" s="1"/>
  <c r="T61" i="18"/>
  <c r="V61" i="18" s="1"/>
  <c r="T228" i="18"/>
  <c r="V228" i="18" s="1"/>
  <c r="T220" i="18"/>
  <c r="V220" i="18" s="1"/>
  <c r="T217" i="18"/>
  <c r="AA217" i="18" s="1"/>
  <c r="T197" i="18"/>
  <c r="AA197" i="18" s="1"/>
  <c r="T165" i="18"/>
  <c r="V165" i="18" s="1"/>
  <c r="T161" i="18"/>
  <c r="V161" i="18" s="1"/>
  <c r="T153" i="18"/>
  <c r="Y153" i="18" s="1"/>
  <c r="T218" i="18"/>
  <c r="AA218" i="18" s="1"/>
  <c r="T229" i="18"/>
  <c r="Y229" i="18" s="1"/>
  <c r="T225" i="18"/>
  <c r="Y225" i="18" s="1"/>
  <c r="T221" i="18"/>
  <c r="Y221" i="18" s="1"/>
  <c r="T213" i="18"/>
  <c r="AA213" i="18" s="1"/>
  <c r="T209" i="18"/>
  <c r="Y209" i="18" s="1"/>
  <c r="T201" i="18"/>
  <c r="AA201" i="18" s="1"/>
  <c r="T193" i="18"/>
  <c r="AA193" i="18" s="1"/>
  <c r="T189" i="18"/>
  <c r="V189" i="18" s="1"/>
  <c r="T177" i="18"/>
  <c r="AB177" i="18" s="1"/>
  <c r="T212" i="18"/>
  <c r="V212" i="18" s="1"/>
  <c r="T230" i="18"/>
  <c r="AA230" i="18" s="1"/>
  <c r="T226" i="18"/>
  <c r="AA226" i="18" s="1"/>
  <c r="T222" i="18"/>
  <c r="AA222" i="18" s="1"/>
  <c r="T214" i="18"/>
  <c r="Y214" i="18" s="1"/>
  <c r="T210" i="18"/>
  <c r="AA210" i="18" s="1"/>
  <c r="T206" i="18"/>
  <c r="X206" i="18" s="1"/>
  <c r="T202" i="18"/>
  <c r="Y202" i="18" s="1"/>
  <c r="T198" i="18"/>
  <c r="AA198" i="18" s="1"/>
  <c r="T194" i="18"/>
  <c r="V194" i="18" s="1"/>
  <c r="T190" i="18"/>
  <c r="AA190" i="18" s="1"/>
  <c r="T186" i="18"/>
  <c r="AB186" i="18" s="1"/>
  <c r="T182" i="18"/>
  <c r="X182" i="18" s="1"/>
  <c r="T178" i="18"/>
  <c r="V178" i="18" s="1"/>
  <c r="T174" i="18"/>
  <c r="AB174" i="18" s="1"/>
  <c r="T170" i="18"/>
  <c r="AA170" i="18" s="1"/>
  <c r="T166" i="18"/>
  <c r="AA166" i="18" s="1"/>
  <c r="T162" i="18"/>
  <c r="AA162" i="18" s="1"/>
  <c r="T158" i="18"/>
  <c r="AA158" i="18" s="1"/>
  <c r="T154" i="18"/>
  <c r="X154" i="18" s="1"/>
  <c r="T150" i="18"/>
  <c r="AB150" i="18" s="1"/>
  <c r="T146" i="18"/>
  <c r="AB146" i="18" s="1"/>
  <c r="T142" i="18"/>
  <c r="Y142" i="18" s="1"/>
  <c r="T137" i="18"/>
  <c r="V137" i="18" s="1"/>
  <c r="T133" i="18"/>
  <c r="V133" i="18" s="1"/>
  <c r="T129" i="18"/>
  <c r="V129" i="18" s="1"/>
  <c r="T125" i="18"/>
  <c r="AB125" i="18" s="1"/>
  <c r="T121" i="18"/>
  <c r="Y121" i="18" s="1"/>
  <c r="T117" i="18"/>
  <c r="V117" i="18" s="1"/>
  <c r="T113" i="18"/>
  <c r="Y113" i="18" s="1"/>
  <c r="T101" i="18"/>
  <c r="Y101" i="18" s="1"/>
  <c r="T97" i="18"/>
  <c r="V97" i="18" s="1"/>
  <c r="T93" i="18"/>
  <c r="AA93" i="18" s="1"/>
  <c r="T89" i="18"/>
  <c r="V89" i="18" s="1"/>
  <c r="T85" i="18"/>
  <c r="X85" i="18" s="1"/>
  <c r="T81" i="18"/>
  <c r="V81" i="18" s="1"/>
  <c r="T69" i="18"/>
  <c r="Y69" i="18" s="1"/>
  <c r="T65" i="18"/>
  <c r="AA65" i="18" s="1"/>
  <c r="T57" i="18"/>
  <c r="AB57" i="18" s="1"/>
  <c r="T53" i="18"/>
  <c r="AB53" i="18" s="1"/>
  <c r="T45" i="18"/>
  <c r="V45" i="18" s="1"/>
  <c r="T33" i="18"/>
  <c r="AB33" i="18" s="1"/>
  <c r="T29" i="18"/>
  <c r="X29" i="18" s="1"/>
  <c r="T25" i="18"/>
  <c r="Y25" i="18" s="1"/>
  <c r="D3" i="1"/>
  <c r="F10" i="1"/>
  <c r="AA158" i="1"/>
  <c r="AA159" i="1"/>
  <c r="AA78" i="18" l="1"/>
  <c r="X35" i="18"/>
  <c r="Y42" i="18"/>
  <c r="X42" i="18"/>
  <c r="V78" i="18"/>
  <c r="AB156" i="18"/>
  <c r="V120" i="18"/>
  <c r="AA147" i="18"/>
  <c r="X211" i="18"/>
  <c r="V196" i="18"/>
  <c r="AB135" i="18"/>
  <c r="Y35" i="18"/>
  <c r="AA71" i="18"/>
  <c r="Y78" i="18"/>
  <c r="AB35" i="18"/>
  <c r="V35" i="18"/>
  <c r="AB204" i="18"/>
  <c r="X216" i="18"/>
  <c r="X143" i="18"/>
  <c r="V135" i="18"/>
  <c r="X114" i="18"/>
  <c r="V114" i="18"/>
  <c r="AB168" i="18"/>
  <c r="AA66" i="18"/>
  <c r="AB78" i="18"/>
  <c r="Y211" i="18"/>
  <c r="V168" i="18"/>
  <c r="X71" i="18"/>
  <c r="Y130" i="18"/>
  <c r="AA42" i="18"/>
  <c r="X180" i="18"/>
  <c r="X155" i="18"/>
  <c r="Y168" i="18"/>
  <c r="X95" i="18"/>
  <c r="AA54" i="18"/>
  <c r="V34" i="18"/>
  <c r="X163" i="18"/>
  <c r="AB30" i="18"/>
  <c r="AA30" i="18"/>
  <c r="X30" i="18"/>
  <c r="AB163" i="18"/>
  <c r="V163" i="18"/>
  <c r="AA163" i="18"/>
  <c r="Y30" i="18"/>
  <c r="AB216" i="18"/>
  <c r="AA211" i="18"/>
  <c r="X218" i="18"/>
  <c r="V156" i="18"/>
  <c r="Y131" i="18"/>
  <c r="AB71" i="18"/>
  <c r="AA58" i="18"/>
  <c r="X39" i="18"/>
  <c r="V42" i="18"/>
  <c r="AB46" i="18"/>
  <c r="V183" i="18"/>
  <c r="V52" i="18"/>
  <c r="Y99" i="18"/>
  <c r="AB169" i="18"/>
  <c r="V147" i="18"/>
  <c r="AB211" i="18"/>
  <c r="X168" i="18"/>
  <c r="V95" i="18"/>
  <c r="X135" i="18"/>
  <c r="AA118" i="18"/>
  <c r="AA46" i="18"/>
  <c r="X63" i="18"/>
  <c r="AA36" i="18"/>
  <c r="X196" i="18"/>
  <c r="AA135" i="18"/>
  <c r="Y183" i="18"/>
  <c r="V46" i="18"/>
  <c r="AA115" i="18"/>
  <c r="AB94" i="18"/>
  <c r="AB171" i="18"/>
  <c r="X172" i="18"/>
  <c r="AB160" i="18"/>
  <c r="V94" i="18"/>
  <c r="AA94" i="18"/>
  <c r="AA114" i="18"/>
  <c r="V199" i="18"/>
  <c r="AA216" i="18"/>
  <c r="AA165" i="18"/>
  <c r="AA155" i="18"/>
  <c r="V218" i="18"/>
  <c r="X156" i="18"/>
  <c r="AB131" i="18"/>
  <c r="AB99" i="18"/>
  <c r="AB114" i="18"/>
  <c r="Y82" i="18"/>
  <c r="AB58" i="18"/>
  <c r="Y39" i="18"/>
  <c r="Y118" i="18"/>
  <c r="X94" i="18"/>
  <c r="X86" i="18"/>
  <c r="X148" i="18"/>
  <c r="V79" i="18"/>
  <c r="AA79" i="18"/>
  <c r="X75" i="18"/>
  <c r="X188" i="18"/>
  <c r="Y173" i="18"/>
  <c r="AA175" i="18"/>
  <c r="AB215" i="18"/>
  <c r="X126" i="18"/>
  <c r="AA75" i="18"/>
  <c r="X43" i="18"/>
  <c r="Y75" i="18"/>
  <c r="AB144" i="18"/>
  <c r="X111" i="18"/>
  <c r="X47" i="18"/>
  <c r="Y191" i="18"/>
  <c r="AB195" i="18"/>
  <c r="Y83" i="18"/>
  <c r="AA148" i="18"/>
  <c r="X66" i="18"/>
  <c r="Y141" i="18"/>
  <c r="AA195" i="18"/>
  <c r="AB220" i="18"/>
  <c r="V149" i="18"/>
  <c r="V219" i="18"/>
  <c r="X138" i="18"/>
  <c r="Y51" i="18"/>
  <c r="AA70" i="18"/>
  <c r="AA173" i="18"/>
  <c r="AB167" i="18"/>
  <c r="Y219" i="18"/>
  <c r="Y47" i="18"/>
  <c r="V167" i="18"/>
  <c r="Y24" i="18"/>
  <c r="Y16" i="18"/>
  <c r="AA39" i="18"/>
  <c r="V191" i="18"/>
  <c r="AA138" i="18"/>
  <c r="AB75" i="18"/>
  <c r="V47" i="18"/>
  <c r="AA171" i="18"/>
  <c r="Y148" i="18"/>
  <c r="AB66" i="18"/>
  <c r="X141" i="18"/>
  <c r="AB138" i="18"/>
  <c r="AB115" i="18"/>
  <c r="X191" i="18"/>
  <c r="V171" i="18"/>
  <c r="AA141" i="18"/>
  <c r="X171" i="18"/>
  <c r="Y115" i="18"/>
  <c r="V148" i="18"/>
  <c r="AB141" i="18"/>
  <c r="Y138" i="18"/>
  <c r="Y66" i="18"/>
  <c r="AA47" i="18"/>
  <c r="X115" i="18"/>
  <c r="AB191" i="18"/>
  <c r="X220" i="18"/>
  <c r="X118" i="18"/>
  <c r="AB63" i="18"/>
  <c r="X147" i="18"/>
  <c r="X199" i="18"/>
  <c r="Y213" i="18"/>
  <c r="V28" i="18"/>
  <c r="V102" i="18"/>
  <c r="Y215" i="18"/>
  <c r="X173" i="18"/>
  <c r="AB175" i="18"/>
  <c r="AA149" i="18"/>
  <c r="X175" i="18"/>
  <c r="Y123" i="18"/>
  <c r="AB218" i="18"/>
  <c r="AB172" i="18"/>
  <c r="V160" i="18"/>
  <c r="V83" i="18"/>
  <c r="AA219" i="18"/>
  <c r="X144" i="18"/>
  <c r="AB143" i="18"/>
  <c r="AB126" i="18"/>
  <c r="AA96" i="18"/>
  <c r="AB70" i="18"/>
  <c r="AB213" i="18"/>
  <c r="AB76" i="18"/>
  <c r="AB43" i="18"/>
  <c r="AB205" i="18"/>
  <c r="AA123" i="18"/>
  <c r="AA143" i="18"/>
  <c r="X204" i="18"/>
  <c r="V144" i="18"/>
  <c r="Y38" i="18"/>
  <c r="V43" i="18"/>
  <c r="V38" i="18"/>
  <c r="V111" i="18"/>
  <c r="X38" i="18"/>
  <c r="Y188" i="18"/>
  <c r="AB188" i="18"/>
  <c r="AB123" i="18"/>
  <c r="Y86" i="18"/>
  <c r="Y204" i="18"/>
  <c r="V195" i="18"/>
  <c r="AB173" i="18"/>
  <c r="AA167" i="18"/>
  <c r="V175" i="18"/>
  <c r="Y218" i="18"/>
  <c r="Y160" i="18"/>
  <c r="Y79" i="18"/>
  <c r="X219" i="18"/>
  <c r="Y144" i="18"/>
  <c r="Y143" i="18"/>
  <c r="AB128" i="18"/>
  <c r="Y126" i="18"/>
  <c r="V84" i="18"/>
  <c r="Y70" i="18"/>
  <c r="X26" i="18"/>
  <c r="U205" i="18"/>
  <c r="V205" i="18" s="1"/>
  <c r="AA204" i="18"/>
  <c r="V188" i="18"/>
  <c r="AB79" i="18"/>
  <c r="AB98" i="18"/>
  <c r="AB51" i="18"/>
  <c r="X51" i="18"/>
  <c r="X83" i="18"/>
  <c r="X215" i="18"/>
  <c r="X167" i="18"/>
  <c r="AB149" i="18"/>
  <c r="V172" i="18"/>
  <c r="Y111" i="18"/>
  <c r="Y172" i="18"/>
  <c r="X160" i="18"/>
  <c r="Y128" i="18"/>
  <c r="AA83" i="18"/>
  <c r="Y84" i="18"/>
  <c r="AA43" i="18"/>
  <c r="AB84" i="18"/>
  <c r="V70" i="18"/>
  <c r="AA205" i="18"/>
  <c r="AA126" i="18"/>
  <c r="AB111" i="18"/>
  <c r="AB86" i="18"/>
  <c r="X123" i="18"/>
  <c r="X98" i="18"/>
  <c r="AA51" i="18"/>
  <c r="X195" i="18"/>
  <c r="V86" i="18"/>
  <c r="AA169" i="18"/>
  <c r="Y220" i="18"/>
  <c r="Y216" i="18"/>
  <c r="AB155" i="18"/>
  <c r="AB147" i="18"/>
  <c r="V99" i="18"/>
  <c r="AB130" i="18"/>
  <c r="X99" i="18"/>
  <c r="AB95" i="18"/>
  <c r="V71" i="18"/>
  <c r="X54" i="18"/>
  <c r="X46" i="18"/>
  <c r="AB39" i="18"/>
  <c r="AA82" i="18"/>
  <c r="V58" i="18"/>
  <c r="Y199" i="18"/>
  <c r="Y196" i="18"/>
  <c r="Y120" i="18"/>
  <c r="AA131" i="18"/>
  <c r="X131" i="18"/>
  <c r="Y63" i="18"/>
  <c r="Y34" i="18"/>
  <c r="X82" i="18"/>
  <c r="AB120" i="18"/>
  <c r="Y180" i="18"/>
  <c r="AA130" i="18"/>
  <c r="AA180" i="18"/>
  <c r="X183" i="18"/>
  <c r="X205" i="18"/>
  <c r="X166" i="18"/>
  <c r="X100" i="18"/>
  <c r="AA127" i="18"/>
  <c r="V112" i="18"/>
  <c r="AB137" i="18"/>
  <c r="AB161" i="18"/>
  <c r="AA151" i="18"/>
  <c r="Y156" i="18"/>
  <c r="V152" i="18"/>
  <c r="AB136" i="18"/>
  <c r="Y132" i="18"/>
  <c r="X130" i="18"/>
  <c r="V118" i="18"/>
  <c r="X87" i="18"/>
  <c r="Y74" i="18"/>
  <c r="X58" i="18"/>
  <c r="AA34" i="18"/>
  <c r="AA63" i="18"/>
  <c r="V54" i="18"/>
  <c r="AA196" i="18"/>
  <c r="AB180" i="18"/>
  <c r="AA120" i="18"/>
  <c r="AA52" i="18"/>
  <c r="Y155" i="18"/>
  <c r="Y91" i="18"/>
  <c r="AB183" i="18"/>
  <c r="Y95" i="18"/>
  <c r="AA31" i="18"/>
  <c r="X223" i="18"/>
  <c r="AB227" i="18"/>
  <c r="Y10" i="18"/>
  <c r="X110" i="18"/>
  <c r="AB54" i="18"/>
  <c r="X34" i="18"/>
  <c r="AB199" i="18"/>
  <c r="Y52" i="18"/>
  <c r="V192" i="18"/>
  <c r="AB52" i="18"/>
  <c r="AB82" i="18"/>
  <c r="Y208" i="18"/>
  <c r="AA157" i="18"/>
  <c r="Y227" i="18"/>
  <c r="AB223" i="18"/>
  <c r="X134" i="18"/>
  <c r="X127" i="18"/>
  <c r="X50" i="18"/>
  <c r="Y110" i="18"/>
  <c r="AA10" i="18"/>
  <c r="V50" i="18"/>
  <c r="X17" i="18"/>
  <c r="AB208" i="18"/>
  <c r="V187" i="18"/>
  <c r="AA119" i="18"/>
  <c r="AA192" i="18"/>
  <c r="AA102" i="18"/>
  <c r="V127" i="18"/>
  <c r="X119" i="18"/>
  <c r="AB157" i="18"/>
  <c r="AB151" i="18"/>
  <c r="Y119" i="18"/>
  <c r="V227" i="18"/>
  <c r="AA152" i="18"/>
  <c r="Y134" i="18"/>
  <c r="Y127" i="18"/>
  <c r="X91" i="18"/>
  <c r="AA110" i="18"/>
  <c r="Y40" i="18"/>
  <c r="V185" i="18"/>
  <c r="Y192" i="18"/>
  <c r="X192" i="18"/>
  <c r="V55" i="18"/>
  <c r="V20" i="18"/>
  <c r="AA176" i="18"/>
  <c r="V151" i="18"/>
  <c r="AA227" i="18"/>
  <c r="AA223" i="18"/>
  <c r="X152" i="18"/>
  <c r="V91" i="18"/>
  <c r="X132" i="18"/>
  <c r="AB91" i="18"/>
  <c r="Y59" i="18"/>
  <c r="Y13" i="18"/>
  <c r="X74" i="18"/>
  <c r="X10" i="18"/>
  <c r="V179" i="18"/>
  <c r="AB112" i="18"/>
  <c r="AB185" i="18"/>
  <c r="AB80" i="18"/>
  <c r="X48" i="18"/>
  <c r="X13" i="18"/>
  <c r="AA220" i="18"/>
  <c r="AB214" i="18"/>
  <c r="X157" i="18"/>
  <c r="V223" i="18"/>
  <c r="V100" i="18"/>
  <c r="V87" i="18"/>
  <c r="V64" i="18"/>
  <c r="AB134" i="18"/>
  <c r="AB132" i="18"/>
  <c r="X128" i="18"/>
  <c r="AB87" i="18"/>
  <c r="X84" i="18"/>
  <c r="Y55" i="18"/>
  <c r="AA50" i="18"/>
  <c r="AA38" i="18"/>
  <c r="V17" i="18"/>
  <c r="V110" i="18"/>
  <c r="V10" i="18"/>
  <c r="X213" i="18"/>
  <c r="AA74" i="18"/>
  <c r="AB50" i="18"/>
  <c r="Y102" i="18"/>
  <c r="AA134" i="18"/>
  <c r="AA55" i="18"/>
  <c r="Y185" i="18"/>
  <c r="AB55" i="18"/>
  <c r="V157" i="18"/>
  <c r="V74" i="18"/>
  <c r="AA112" i="18"/>
  <c r="Y48" i="18"/>
  <c r="Y187" i="18"/>
  <c r="AB48" i="18"/>
  <c r="X187" i="18"/>
  <c r="AB152" i="18"/>
  <c r="X179" i="18"/>
  <c r="Y98" i="18"/>
  <c r="X59" i="18"/>
  <c r="V176" i="18"/>
  <c r="Y179" i="18"/>
  <c r="AA59" i="18"/>
  <c r="AA208" i="18"/>
  <c r="X151" i="18"/>
  <c r="X112" i="18"/>
  <c r="AB187" i="18"/>
  <c r="AB59" i="18"/>
  <c r="X176" i="18"/>
  <c r="Y133" i="18"/>
  <c r="Y117" i="18"/>
  <c r="AB27" i="18"/>
  <c r="X185" i="18"/>
  <c r="V13" i="18"/>
  <c r="Y17" i="18"/>
  <c r="AB13" i="18"/>
  <c r="AB179" i="18"/>
  <c r="V48" i="18"/>
  <c r="AB102" i="18"/>
  <c r="Y87" i="18"/>
  <c r="V150" i="18"/>
  <c r="V198" i="18"/>
  <c r="AB166" i="18"/>
  <c r="X117" i="18"/>
  <c r="V214" i="18"/>
  <c r="X150" i="18"/>
  <c r="AA214" i="18"/>
  <c r="V166" i="18"/>
  <c r="Y150" i="18"/>
  <c r="AB133" i="18"/>
  <c r="Y197" i="18"/>
  <c r="X124" i="18"/>
  <c r="X122" i="18"/>
  <c r="AA62" i="18"/>
  <c r="V32" i="18"/>
  <c r="Y27" i="18"/>
  <c r="X208" i="18"/>
  <c r="AB176" i="18"/>
  <c r="AB119" i="18"/>
  <c r="AA132" i="18"/>
  <c r="V197" i="18"/>
  <c r="AB159" i="18"/>
  <c r="AA145" i="18"/>
  <c r="Y207" i="18"/>
  <c r="AA67" i="18"/>
  <c r="AB201" i="18"/>
  <c r="AB184" i="18"/>
  <c r="AB103" i="18"/>
  <c r="AB21" i="18"/>
  <c r="X19" i="18"/>
  <c r="V203" i="18"/>
  <c r="X225" i="18"/>
  <c r="AB203" i="18"/>
  <c r="V140" i="18"/>
  <c r="AB90" i="18"/>
  <c r="V225" i="18"/>
  <c r="Y224" i="18"/>
  <c r="X164" i="18"/>
  <c r="AB140" i="18"/>
  <c r="Y21" i="18"/>
  <c r="AB197" i="18"/>
  <c r="X200" i="18"/>
  <c r="X103" i="18"/>
  <c r="V229" i="18"/>
  <c r="AB164" i="18"/>
  <c r="U207" i="18"/>
  <c r="V207" i="18" s="1"/>
  <c r="V122" i="18"/>
  <c r="Y140" i="18"/>
  <c r="AA19" i="18"/>
  <c r="V184" i="18"/>
  <c r="Y90" i="18"/>
  <c r="Y200" i="18"/>
  <c r="Y122" i="18"/>
  <c r="X21" i="18"/>
  <c r="Y103" i="18"/>
  <c r="Y67" i="18"/>
  <c r="V200" i="18"/>
  <c r="AA159" i="18"/>
  <c r="AA207" i="18"/>
  <c r="AA122" i="18"/>
  <c r="AB67" i="18"/>
  <c r="AA184" i="18"/>
  <c r="AA200" i="18"/>
  <c r="Y62" i="18"/>
  <c r="AA21" i="18"/>
  <c r="AB36" i="18"/>
  <c r="AA215" i="18"/>
  <c r="V90" i="18"/>
  <c r="X22" i="18"/>
  <c r="X203" i="18"/>
  <c r="V164" i="18"/>
  <c r="AB224" i="18"/>
  <c r="X159" i="18"/>
  <c r="Y164" i="18"/>
  <c r="X207" i="18"/>
  <c r="V103" i="18"/>
  <c r="X140" i="18"/>
  <c r="AB62" i="18"/>
  <c r="AA22" i="18"/>
  <c r="X67" i="18"/>
  <c r="X62" i="18"/>
  <c r="AB19" i="18"/>
  <c r="AB23" i="18"/>
  <c r="Y203" i="18"/>
  <c r="X184" i="18"/>
  <c r="V181" i="18"/>
  <c r="X181" i="18"/>
  <c r="X90" i="18"/>
  <c r="V159" i="18"/>
  <c r="Y149" i="18"/>
  <c r="Y22" i="18"/>
  <c r="V22" i="18"/>
  <c r="V98" i="18"/>
  <c r="Y19" i="18"/>
  <c r="X96" i="18"/>
  <c r="V96" i="18"/>
  <c r="X60" i="18"/>
  <c r="AB60" i="18"/>
  <c r="X80" i="18"/>
  <c r="X76" i="18"/>
  <c r="V76" i="18"/>
  <c r="AA28" i="18"/>
  <c r="X16" i="18"/>
  <c r="V60" i="18"/>
  <c r="Y60" i="18"/>
  <c r="V16" i="18"/>
  <c r="AB96" i="18"/>
  <c r="Y76" i="18"/>
  <c r="Y26" i="18"/>
  <c r="V26" i="18"/>
  <c r="AA26" i="18"/>
  <c r="Y28" i="18"/>
  <c r="AB28" i="18"/>
  <c r="AB16" i="18"/>
  <c r="X36" i="18"/>
  <c r="AA100" i="18"/>
  <c r="AA27" i="18"/>
  <c r="Y20" i="18"/>
  <c r="Y80" i="18"/>
  <c r="X32" i="18"/>
  <c r="X20" i="18"/>
  <c r="AB100" i="18"/>
  <c r="AA80" i="18"/>
  <c r="Y32" i="18"/>
  <c r="AB32" i="18"/>
  <c r="AA20" i="18"/>
  <c r="AA17" i="18"/>
  <c r="X27" i="18"/>
  <c r="X23" i="18"/>
  <c r="Y18" i="18"/>
  <c r="AB69" i="18"/>
  <c r="V69" i="18"/>
  <c r="AA69" i="18"/>
  <c r="Y44" i="18"/>
  <c r="Y31" i="18"/>
  <c r="AB31" i="18"/>
  <c r="V24" i="18"/>
  <c r="AA24" i="18"/>
  <c r="X31" i="18"/>
  <c r="V14" i="18"/>
  <c r="X24" i="18"/>
  <c r="X14" i="18"/>
  <c r="X45" i="18"/>
  <c r="AB45" i="18"/>
  <c r="V72" i="18"/>
  <c r="Y23" i="18"/>
  <c r="V56" i="18"/>
  <c r="AA73" i="18"/>
  <c r="V18" i="18"/>
  <c r="AA23" i="18"/>
  <c r="AA12" i="18"/>
  <c r="V12" i="18"/>
  <c r="V88" i="18"/>
  <c r="AB40" i="18"/>
  <c r="X40" i="18"/>
  <c r="AA40" i="18"/>
  <c r="AA41" i="18"/>
  <c r="AB37" i="18"/>
  <c r="V37" i="18"/>
  <c r="X37" i="18"/>
  <c r="Y37" i="18"/>
  <c r="Y36" i="18"/>
  <c r="AA64" i="18"/>
  <c r="X64" i="18"/>
  <c r="Y64" i="18"/>
  <c r="AA14" i="18"/>
  <c r="Y14" i="18"/>
  <c r="AA11" i="18"/>
  <c r="X11" i="18"/>
  <c r="AB11" i="18"/>
  <c r="Y11" i="18"/>
  <c r="V92" i="18"/>
  <c r="AA72" i="18"/>
  <c r="X18" i="18"/>
  <c r="AB181" i="18"/>
  <c r="Y124" i="18"/>
  <c r="Y49" i="18"/>
  <c r="Y145" i="18"/>
  <c r="AA224" i="18"/>
  <c r="AB145" i="18"/>
  <c r="X224" i="18"/>
  <c r="X170" i="18"/>
  <c r="V145" i="18"/>
  <c r="AB92" i="18"/>
  <c r="X73" i="18"/>
  <c r="AA92" i="18"/>
  <c r="AB73" i="18"/>
  <c r="AB72" i="18"/>
  <c r="X49" i="18"/>
  <c r="AA18" i="18"/>
  <c r="Y181" i="18"/>
  <c r="Y12" i="18"/>
  <c r="AB12" i="18"/>
  <c r="AA49" i="18"/>
  <c r="AA56" i="18"/>
  <c r="X92" i="18"/>
  <c r="V73" i="18"/>
  <c r="AB49" i="18"/>
  <c r="Y72" i="18"/>
  <c r="AB124" i="18"/>
  <c r="AA124" i="18"/>
  <c r="AB56" i="18"/>
  <c r="Y56" i="18"/>
  <c r="AA128" i="18"/>
  <c r="X217" i="18"/>
  <c r="AB88" i="18"/>
  <c r="AA61" i="18"/>
  <c r="Y136" i="18"/>
  <c r="Y68" i="18"/>
  <c r="X41" i="18"/>
  <c r="AA116" i="18"/>
  <c r="AA136" i="18"/>
  <c r="AA88" i="18"/>
  <c r="AB68" i="18"/>
  <c r="V41" i="18"/>
  <c r="V68" i="18"/>
  <c r="AA44" i="18"/>
  <c r="AA177" i="18"/>
  <c r="X116" i="18"/>
  <c r="X177" i="18"/>
  <c r="Y61" i="18"/>
  <c r="AB116" i="18"/>
  <c r="V44" i="18"/>
  <c r="X44" i="18"/>
  <c r="X169" i="18"/>
  <c r="AA221" i="18"/>
  <c r="X136" i="18"/>
  <c r="X88" i="18"/>
  <c r="AA68" i="18"/>
  <c r="V116" i="18"/>
  <c r="Y41" i="18"/>
  <c r="AB61" i="18"/>
  <c r="AB182" i="18"/>
  <c r="Y169" i="18"/>
  <c r="X61" i="18"/>
  <c r="X15" i="18"/>
  <c r="AB15" i="18"/>
  <c r="AA15" i="18"/>
  <c r="Y15" i="18"/>
  <c r="Y77" i="18"/>
  <c r="X209" i="18"/>
  <c r="Y193" i="18"/>
  <c r="Y228" i="18"/>
  <c r="V77" i="18"/>
  <c r="AA209" i="18"/>
  <c r="AA229" i="18"/>
  <c r="AA77" i="18"/>
  <c r="AB77" i="18"/>
  <c r="V25" i="18"/>
  <c r="X25" i="18"/>
  <c r="V213" i="18"/>
  <c r="X197" i="18"/>
  <c r="V190" i="18"/>
  <c r="X221" i="18"/>
  <c r="AB217" i="18"/>
  <c r="Y177" i="18"/>
  <c r="X153" i="18"/>
  <c r="AB153" i="18"/>
  <c r="Y146" i="18"/>
  <c r="V217" i="18"/>
  <c r="Y217" i="18"/>
  <c r="X33" i="18"/>
  <c r="AA33" i="18"/>
  <c r="AA133" i="18"/>
  <c r="AB93" i="18"/>
  <c r="AB198" i="18"/>
  <c r="AA153" i="18"/>
  <c r="X210" i="18"/>
  <c r="Y45" i="18"/>
  <c r="AA182" i="18"/>
  <c r="V182" i="18"/>
  <c r="V153" i="18"/>
  <c r="X165" i="18"/>
  <c r="X229" i="18"/>
  <c r="X53" i="18"/>
  <c r="Y186" i="18"/>
  <c r="AA228" i="18"/>
  <c r="X228" i="18"/>
  <c r="AB229" i="18"/>
  <c r="X121" i="18"/>
  <c r="AB193" i="18"/>
  <c r="V193" i="18"/>
  <c r="U209" i="18"/>
  <c r="V209" i="18" s="1"/>
  <c r="AB154" i="18"/>
  <c r="AB165" i="18"/>
  <c r="X222" i="18"/>
  <c r="AB228" i="18"/>
  <c r="X193" i="18"/>
  <c r="AB97" i="18"/>
  <c r="AB209" i="18"/>
  <c r="Y165" i="18"/>
  <c r="AB225" i="18"/>
  <c r="AA212" i="18"/>
  <c r="Y125" i="18"/>
  <c r="AA161" i="18"/>
  <c r="V226" i="18"/>
  <c r="X201" i="18"/>
  <c r="Y57" i="18"/>
  <c r="AB101" i="18"/>
  <c r="AA189" i="18"/>
  <c r="V201" i="18"/>
  <c r="AA206" i="18"/>
  <c r="Y174" i="18"/>
  <c r="X161" i="18"/>
  <c r="AA225" i="18"/>
  <c r="X226" i="18"/>
  <c r="Y161" i="18"/>
  <c r="AB221" i="18"/>
  <c r="V230" i="18"/>
  <c r="X162" i="18"/>
  <c r="V177" i="18"/>
  <c r="V221" i="18"/>
  <c r="X214" i="18"/>
  <c r="X230" i="18"/>
  <c r="Y166" i="18"/>
  <c r="Y158" i="18"/>
  <c r="AA150" i="18"/>
  <c r="X69" i="18"/>
  <c r="X133" i="18"/>
  <c r="AB117" i="18"/>
  <c r="AA117" i="18"/>
  <c r="Y65" i="18"/>
  <c r="X93" i="18"/>
  <c r="Y198" i="18"/>
  <c r="V93" i="18"/>
  <c r="Y182" i="18"/>
  <c r="X198" i="18"/>
  <c r="Y201" i="18"/>
  <c r="Y178" i="18"/>
  <c r="AB89" i="18"/>
  <c r="AA154" i="18"/>
  <c r="Y137" i="18"/>
  <c r="AB81" i="18"/>
  <c r="X189" i="18"/>
  <c r="AB202" i="18"/>
  <c r="AB170" i="18"/>
  <c r="AB222" i="18"/>
  <c r="AB121" i="18"/>
  <c r="Y222" i="18"/>
  <c r="V154" i="18"/>
  <c r="Y154" i="18"/>
  <c r="V121" i="18"/>
  <c r="X81" i="18"/>
  <c r="AB189" i="18"/>
  <c r="AA137" i="18"/>
  <c r="AA186" i="18"/>
  <c r="X202" i="18"/>
  <c r="AA25" i="18"/>
  <c r="V222" i="18"/>
  <c r="V202" i="18"/>
  <c r="Y170" i="18"/>
  <c r="X137" i="18"/>
  <c r="AA121" i="18"/>
  <c r="AA81" i="18"/>
  <c r="Y189" i="18"/>
  <c r="V186" i="18"/>
  <c r="AA202" i="18"/>
  <c r="AB25" i="18"/>
  <c r="AB226" i="18"/>
  <c r="X212" i="18"/>
  <c r="X158" i="18"/>
  <c r="AA85" i="18"/>
  <c r="X142" i="18"/>
  <c r="Y29" i="18"/>
  <c r="V29" i="18"/>
  <c r="AB29" i="18"/>
  <c r="X174" i="18"/>
  <c r="X186" i="18"/>
  <c r="AB190" i="18"/>
  <c r="U206" i="18"/>
  <c r="V206" i="18" s="1"/>
  <c r="X97" i="18"/>
  <c r="X101" i="18"/>
  <c r="V57" i="18"/>
  <c r="AB206" i="18"/>
  <c r="AA174" i="18"/>
  <c r="Y226" i="18"/>
  <c r="AB212" i="18"/>
  <c r="AB158" i="18"/>
  <c r="AB142" i="18"/>
  <c r="X125" i="18"/>
  <c r="AB85" i="18"/>
  <c r="X57" i="18"/>
  <c r="Y85" i="18"/>
  <c r="AA101" i="18"/>
  <c r="X190" i="18"/>
  <c r="AA29" i="18"/>
  <c r="V174" i="18"/>
  <c r="Y190" i="18"/>
  <c r="Y206" i="18"/>
  <c r="Y81" i="18"/>
  <c r="Y97" i="18"/>
  <c r="V101" i="18"/>
  <c r="AA57" i="18"/>
  <c r="Y212" i="18"/>
  <c r="V158" i="18"/>
  <c r="V85" i="18"/>
  <c r="AB230" i="18"/>
  <c r="AB162" i="18"/>
  <c r="V146" i="18"/>
  <c r="X129" i="18"/>
  <c r="X65" i="18"/>
  <c r="V65" i="18"/>
  <c r="AB113" i="18"/>
  <c r="AA89" i="18"/>
  <c r="U210" i="18"/>
  <c r="V210" i="18" s="1"/>
  <c r="Y89" i="18"/>
  <c r="Y230" i="18"/>
  <c r="V162" i="18"/>
  <c r="AB65" i="18"/>
  <c r="AB178" i="18"/>
  <c r="Y33" i="18"/>
  <c r="V113" i="18"/>
  <c r="X178" i="18"/>
  <c r="Y194" i="18"/>
  <c r="Y210" i="18"/>
  <c r="X89" i="18"/>
  <c r="AA45" i="18"/>
  <c r="AA53" i="18"/>
  <c r="V53" i="18"/>
  <c r="AB210" i="18"/>
  <c r="AA194" i="18"/>
  <c r="AA146" i="18"/>
  <c r="AA113" i="18"/>
  <c r="AB129" i="18"/>
  <c r="AB194" i="18"/>
  <c r="X194" i="18"/>
  <c r="Y162" i="18"/>
  <c r="X146" i="18"/>
  <c r="X113" i="18"/>
  <c r="Y129" i="18"/>
  <c r="V33" i="18"/>
  <c r="Y93" i="18"/>
  <c r="AA97" i="18"/>
  <c r="V170" i="18"/>
  <c r="AA129" i="18"/>
  <c r="AA178" i="18"/>
  <c r="V125" i="18"/>
  <c r="AA125" i="18"/>
  <c r="V142" i="18"/>
  <c r="AA142" i="18"/>
  <c r="Y53" i="18"/>
  <c r="Z62" i="1"/>
  <c r="Z59" i="1"/>
  <c r="Z61" i="1"/>
  <c r="Z58" i="1"/>
  <c r="Z60" i="1"/>
  <c r="Z57" i="1"/>
  <c r="Z148" i="1"/>
  <c r="Z147" i="1"/>
  <c r="Z146" i="1"/>
  <c r="Z145" i="1"/>
  <c r="Z144" i="1"/>
  <c r="Z143" i="1"/>
  <c r="Z142" i="1"/>
  <c r="Z141" i="1"/>
  <c r="Z91" i="1"/>
  <c r="Z92" i="1"/>
  <c r="Z93" i="1"/>
  <c r="Z94" i="1"/>
  <c r="Z95" i="1"/>
  <c r="Z96" i="1"/>
  <c r="Z90" i="1"/>
  <c r="Z88" i="1"/>
  <c r="Z89" i="1"/>
  <c r="G6" i="18" l="1"/>
  <c r="C7" i="18"/>
  <c r="C6" i="18"/>
  <c r="H6" i="18"/>
  <c r="Z14" i="18"/>
  <c r="Z39" i="18"/>
  <c r="Z11" i="18"/>
  <c r="Z34" i="18"/>
  <c r="Z41" i="18"/>
  <c r="Z50" i="18"/>
  <c r="Z54" i="18"/>
  <c r="Z62" i="18"/>
  <c r="Z24" i="18"/>
  <c r="Z144" i="18"/>
  <c r="Z148" i="18"/>
  <c r="Z17" i="18"/>
  <c r="Z37" i="18"/>
  <c r="Z44" i="18"/>
  <c r="Z48" i="18"/>
  <c r="Z26" i="18"/>
  <c r="Z146" i="18"/>
  <c r="Z160" i="18"/>
  <c r="Z45" i="18"/>
  <c r="Z53" i="18"/>
  <c r="Z63" i="18"/>
  <c r="Z23" i="18"/>
  <c r="Z31" i="18"/>
  <c r="Z143" i="18"/>
  <c r="Z147" i="18"/>
  <c r="Z16" i="18"/>
  <c r="Z43" i="18"/>
  <c r="Z42" i="18"/>
  <c r="Z47" i="18"/>
  <c r="Z51" i="18"/>
  <c r="Z60" i="18"/>
  <c r="Z65" i="18"/>
  <c r="Z29" i="18"/>
  <c r="Z33" i="18"/>
  <c r="Z141" i="18"/>
  <c r="Z145" i="18"/>
  <c r="Z159" i="18"/>
  <c r="Z163" i="18"/>
  <c r="Z61" i="18"/>
  <c r="Z22" i="18"/>
  <c r="Z142" i="18"/>
  <c r="Z156" i="18"/>
  <c r="Z49" i="18"/>
  <c r="Z58" i="18"/>
  <c r="Z20" i="18" l="1"/>
  <c r="Z239" i="18"/>
  <c r="Z238" i="18"/>
  <c r="Z237" i="18"/>
  <c r="Z240" i="18"/>
  <c r="Z115" i="18"/>
  <c r="Z87" i="1"/>
  <c r="Z112" i="18"/>
  <c r="Z84" i="1"/>
  <c r="Z111" i="18"/>
  <c r="Z83" i="1"/>
  <c r="Z114" i="18"/>
  <c r="Z86" i="1"/>
  <c r="Z113" i="18"/>
  <c r="Z85" i="1"/>
  <c r="Z116" i="1"/>
  <c r="Z117" i="1"/>
  <c r="Z14" i="1"/>
  <c r="Z118" i="1"/>
  <c r="Z124" i="1"/>
  <c r="Z43" i="1"/>
  <c r="Z25" i="1"/>
  <c r="Z37" i="1"/>
  <c r="Z113" i="1"/>
  <c r="Z38" i="1"/>
  <c r="Z51" i="1"/>
  <c r="Z34" i="1"/>
  <c r="Z52" i="1"/>
  <c r="Z50" i="1"/>
  <c r="Z30" i="1"/>
  <c r="Z114" i="1"/>
  <c r="Z17" i="1"/>
  <c r="Z42" i="1"/>
  <c r="Z49" i="1"/>
  <c r="Z23" i="1"/>
  <c r="Z16" i="1"/>
  <c r="Z29" i="1"/>
  <c r="Z112" i="1"/>
  <c r="Z69" i="1"/>
  <c r="Z94" i="18"/>
  <c r="Z67" i="1"/>
  <c r="Z91" i="18"/>
  <c r="Z131" i="1"/>
  <c r="Z167" i="18"/>
  <c r="Z68" i="1"/>
  <c r="Z92" i="18"/>
  <c r="Z132" i="1"/>
  <c r="Z168" i="18"/>
  <c r="Z46" i="1"/>
  <c r="Z57" i="18"/>
  <c r="Z128" i="1"/>
  <c r="Z164" i="18"/>
  <c r="Z26" i="1"/>
  <c r="Z30" i="18"/>
  <c r="Z128" i="18"/>
  <c r="Z77" i="18"/>
  <c r="Z56" i="1"/>
  <c r="Z67" i="18"/>
  <c r="Z36" i="18"/>
  <c r="Z125" i="1"/>
  <c r="Z161" i="18"/>
  <c r="Z78" i="18"/>
  <c r="Z129" i="18"/>
  <c r="Z45" i="1"/>
  <c r="Z56" i="18"/>
  <c r="Z130" i="1"/>
  <c r="Z166" i="18"/>
  <c r="Z98" i="18"/>
  <c r="Z32" i="1"/>
  <c r="Z71" i="1"/>
  <c r="Z96" i="18"/>
  <c r="Z65" i="1"/>
  <c r="Z89" i="18"/>
  <c r="Z70" i="1"/>
  <c r="Z95" i="18"/>
  <c r="Z115" i="1"/>
  <c r="Z63" i="1"/>
  <c r="Z87" i="18"/>
  <c r="Z130" i="18"/>
  <c r="Z79" i="18"/>
  <c r="Z74" i="18"/>
  <c r="Z125" i="18"/>
  <c r="Z21" i="18"/>
  <c r="Z110" i="18"/>
  <c r="Z80" i="18"/>
  <c r="Z131" i="18"/>
  <c r="Z36" i="1"/>
  <c r="Z21" i="1"/>
  <c r="Z134" i="1"/>
  <c r="Z170" i="18"/>
  <c r="Z101" i="18"/>
  <c r="Z102" i="18"/>
  <c r="Z103" i="18"/>
  <c r="Z20" i="1"/>
  <c r="Z72" i="1"/>
  <c r="Z97" i="18"/>
  <c r="Z120" i="1"/>
  <c r="Z54" i="1"/>
  <c r="Z127" i="1"/>
  <c r="Z99" i="18"/>
  <c r="Z75" i="18"/>
  <c r="Z126" i="18"/>
  <c r="Z136" i="18"/>
  <c r="Z85" i="18"/>
  <c r="Z127" i="18"/>
  <c r="Z76" i="18"/>
  <c r="Z10" i="1"/>
  <c r="Z10" i="18"/>
  <c r="Z109" i="1"/>
  <c r="Z138" i="18"/>
  <c r="Z13" i="1"/>
  <c r="Z13" i="18"/>
  <c r="Z158" i="18"/>
  <c r="Z135" i="18"/>
  <c r="Z84" i="18"/>
  <c r="Z24" i="1"/>
  <c r="Z28" i="18"/>
  <c r="Z48" i="1"/>
  <c r="Z59" i="18"/>
  <c r="Z35" i="1"/>
  <c r="Z40" i="18"/>
  <c r="Z15" i="1"/>
  <c r="Z15" i="18"/>
  <c r="Z18" i="1"/>
  <c r="Z18" i="18"/>
  <c r="Z66" i="1"/>
  <c r="Z90" i="18"/>
  <c r="Z133" i="1"/>
  <c r="Z169" i="18"/>
  <c r="Z47" i="1"/>
  <c r="Z129" i="1"/>
  <c r="Z165" i="18"/>
  <c r="Z27" i="1"/>
  <c r="Z93" i="18"/>
  <c r="Z64" i="1"/>
  <c r="Z88" i="18"/>
  <c r="Z121" i="1"/>
  <c r="Z157" i="18"/>
  <c r="Z27" i="18"/>
  <c r="Z33" i="1"/>
  <c r="Z38" i="18"/>
  <c r="Z82" i="18"/>
  <c r="Z133" i="18"/>
  <c r="Z41" i="1"/>
  <c r="Z52" i="18"/>
  <c r="Z119" i="1"/>
  <c r="Z155" i="18"/>
  <c r="Z132" i="18"/>
  <c r="Z81" i="18"/>
  <c r="Z22" i="1"/>
  <c r="Z25" i="18"/>
  <c r="Z44" i="1"/>
  <c r="Z55" i="18"/>
  <c r="Z12" i="1"/>
  <c r="Z12" i="18"/>
  <c r="Z83" i="18"/>
  <c r="Z134" i="18"/>
  <c r="Z86" i="18"/>
  <c r="Z137" i="18"/>
  <c r="Z55" i="1"/>
  <c r="Z66" i="18"/>
  <c r="Z31" i="1"/>
  <c r="Z35" i="18"/>
  <c r="Z126" i="1"/>
  <c r="Z162" i="18"/>
  <c r="Z140" i="18"/>
  <c r="Z28" i="1"/>
  <c r="Z32" i="18"/>
  <c r="Z53" i="1"/>
  <c r="Z64" i="18"/>
  <c r="Z40" i="1"/>
  <c r="Z46" i="18"/>
  <c r="Z19" i="1"/>
  <c r="Z19" i="18"/>
  <c r="Z73" i="1"/>
  <c r="Z100" i="18"/>
  <c r="D6" i="18"/>
  <c r="Z107" i="1"/>
  <c r="Z108" i="1"/>
  <c r="Z106" i="1"/>
  <c r="Z100" i="1"/>
  <c r="Z105" i="1"/>
  <c r="Z97" i="1"/>
  <c r="Z104" i="1"/>
  <c r="Z101" i="1"/>
  <c r="Z98" i="1"/>
  <c r="Z99" i="1"/>
  <c r="Z103" i="1"/>
  <c r="Z75" i="1"/>
  <c r="Z74" i="1"/>
  <c r="Z76" i="1"/>
  <c r="Z102" i="1"/>
  <c r="B11" i="1" l="1"/>
  <c r="Z138" i="1" l="1"/>
  <c r="Z181" i="18"/>
  <c r="Z139" i="1"/>
  <c r="Z182" i="18"/>
  <c r="Z179" i="18"/>
  <c r="Z137" i="1"/>
  <c r="Z180" i="18"/>
  <c r="Z135" i="1"/>
  <c r="Z177" i="18"/>
  <c r="E6" i="18" s="1"/>
  <c r="F6" i="18" s="1"/>
  <c r="Z183" i="18"/>
  <c r="Z140" i="1"/>
  <c r="Z184" i="18"/>
  <c r="Z136" i="1"/>
  <c r="Z178" i="18"/>
  <c r="B12" i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l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l="1"/>
  <c r="B74" i="1" s="1"/>
  <c r="B75" i="1" s="1"/>
  <c r="B76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56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8" i="1"/>
  <c r="F37" i="1"/>
  <c r="F36" i="1"/>
  <c r="F35" i="1"/>
  <c r="F34" i="1"/>
  <c r="F33" i="1"/>
  <c r="F32" i="1"/>
  <c r="F31" i="1"/>
  <c r="F30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W84" i="1" l="1"/>
  <c r="W85" i="1"/>
  <c r="W86" i="1"/>
  <c r="W87" i="1"/>
  <c r="W88" i="1"/>
  <c r="W89" i="1"/>
  <c r="W90" i="1"/>
  <c r="W91" i="1"/>
  <c r="W92" i="1"/>
  <c r="W93" i="1"/>
  <c r="W94" i="1"/>
  <c r="W95" i="1"/>
  <c r="W96" i="1"/>
  <c r="W76" i="1"/>
  <c r="T61" i="1" l="1"/>
  <c r="X61" i="1" s="1"/>
  <c r="T62" i="1"/>
  <c r="X62" i="1" s="1"/>
  <c r="T13" i="1"/>
  <c r="X13" i="1" s="1"/>
  <c r="T75" i="1"/>
  <c r="X75" i="1" s="1"/>
  <c r="T64" i="1"/>
  <c r="X64" i="1" s="1"/>
  <c r="Y122" i="1" l="1"/>
  <c r="AA122" i="1"/>
  <c r="Y64" i="1"/>
  <c r="AA64" i="1"/>
  <c r="Y62" i="1"/>
  <c r="AA62" i="1"/>
  <c r="Y75" i="1"/>
  <c r="AA75" i="1"/>
  <c r="Y61" i="1"/>
  <c r="AA61" i="1"/>
  <c r="Y13" i="1"/>
  <c r="AA13" i="1"/>
  <c r="T91" i="1"/>
  <c r="V91" i="1" s="1"/>
  <c r="T125" i="1"/>
  <c r="V125" i="1" s="1"/>
  <c r="T145" i="1"/>
  <c r="T90" i="1"/>
  <c r="V90" i="1" s="1"/>
  <c r="T132" i="1"/>
  <c r="V132" i="1" s="1"/>
  <c r="T100" i="1"/>
  <c r="V100" i="1" s="1"/>
  <c r="T131" i="1"/>
  <c r="V131" i="1" s="1"/>
  <c r="T107" i="1"/>
  <c r="V107" i="1" s="1"/>
  <c r="T149" i="1"/>
  <c r="V149" i="1" s="1"/>
  <c r="T136" i="1"/>
  <c r="V136" i="1" s="1"/>
  <c r="T105" i="1"/>
  <c r="V105" i="1" s="1"/>
  <c r="T66" i="1"/>
  <c r="X66" i="1" s="1"/>
  <c r="T144" i="1"/>
  <c r="T134" i="1"/>
  <c r="V134" i="1" s="1"/>
  <c r="T93" i="1"/>
  <c r="V93" i="1" s="1"/>
  <c r="T124" i="1"/>
  <c r="V124" i="1" s="1"/>
  <c r="T147" i="1"/>
  <c r="V147" i="1" s="1"/>
  <c r="T92" i="1"/>
  <c r="V92" i="1" s="1"/>
  <c r="T140" i="1"/>
  <c r="V140" i="1" s="1"/>
  <c r="T84" i="1"/>
  <c r="V84" i="1" s="1"/>
  <c r="T11" i="1"/>
  <c r="X11" i="1" s="1"/>
  <c r="T146" i="1"/>
  <c r="T115" i="1"/>
  <c r="V115" i="1" s="1"/>
  <c r="T106" i="1"/>
  <c r="V106" i="1" s="1"/>
  <c r="T71" i="1"/>
  <c r="X71" i="1" s="1"/>
  <c r="T116" i="1"/>
  <c r="V116" i="1" s="1"/>
  <c r="T83" i="1"/>
  <c r="V83" i="1" s="1"/>
  <c r="T101" i="1"/>
  <c r="V101" i="1" s="1"/>
  <c r="AB64" i="1"/>
  <c r="V64" i="1"/>
  <c r="AB13" i="1"/>
  <c r="V13" i="1"/>
  <c r="T16" i="1"/>
  <c r="X16" i="1" s="1"/>
  <c r="T25" i="1"/>
  <c r="X25" i="1" s="1"/>
  <c r="T26" i="1"/>
  <c r="X26" i="1" s="1"/>
  <c r="T33" i="1"/>
  <c r="X33" i="1" s="1"/>
  <c r="T40" i="1"/>
  <c r="X40" i="1" s="1"/>
  <c r="T41" i="1"/>
  <c r="X41" i="1" s="1"/>
  <c r="T43" i="1"/>
  <c r="X43" i="1" s="1"/>
  <c r="T49" i="1"/>
  <c r="X49" i="1" s="1"/>
  <c r="T51" i="1"/>
  <c r="X51" i="1" s="1"/>
  <c r="T34" i="1"/>
  <c r="X34" i="1" s="1"/>
  <c r="AB75" i="1"/>
  <c r="V75" i="1"/>
  <c r="T14" i="1"/>
  <c r="X14" i="1" s="1"/>
  <c r="T18" i="1"/>
  <c r="X18" i="1" s="1"/>
  <c r="T23" i="1"/>
  <c r="X23" i="1" s="1"/>
  <c r="T24" i="1"/>
  <c r="X24" i="1" s="1"/>
  <c r="T35" i="1"/>
  <c r="X35" i="1" s="1"/>
  <c r="T37" i="1"/>
  <c r="X37" i="1" s="1"/>
  <c r="T45" i="1"/>
  <c r="X45" i="1" s="1"/>
  <c r="T29" i="1"/>
  <c r="X29" i="1" s="1"/>
  <c r="T47" i="1"/>
  <c r="X47" i="1" s="1"/>
  <c r="T74" i="1"/>
  <c r="X74" i="1" s="1"/>
  <c r="T22" i="1"/>
  <c r="X22" i="1" s="1"/>
  <c r="T38" i="1"/>
  <c r="X38" i="1" s="1"/>
  <c r="T48" i="1"/>
  <c r="X48" i="1" s="1"/>
  <c r="T12" i="1"/>
  <c r="X12" i="1" s="1"/>
  <c r="T46" i="1"/>
  <c r="X46" i="1" s="1"/>
  <c r="T69" i="1"/>
  <c r="X69" i="1" s="1"/>
  <c r="T73" i="1"/>
  <c r="X73" i="1" s="1"/>
  <c r="T15" i="1"/>
  <c r="X15" i="1" s="1"/>
  <c r="AB122" i="1"/>
  <c r="AB62" i="1"/>
  <c r="V62" i="1"/>
  <c r="V61" i="1"/>
  <c r="AB61" i="1"/>
  <c r="T126" i="1"/>
  <c r="V126" i="1" s="1"/>
  <c r="T85" i="1"/>
  <c r="V85" i="1" s="1"/>
  <c r="T120" i="1"/>
  <c r="V120" i="1" s="1"/>
  <c r="T111" i="1"/>
  <c r="T95" i="1"/>
  <c r="V95" i="1" s="1"/>
  <c r="T143" i="1"/>
  <c r="T138" i="1"/>
  <c r="V138" i="1" s="1"/>
  <c r="T129" i="1"/>
  <c r="V129" i="1" s="1"/>
  <c r="T104" i="1"/>
  <c r="V104" i="1" s="1"/>
  <c r="T88" i="1"/>
  <c r="V88" i="1" s="1"/>
  <c r="T59" i="1"/>
  <c r="X59" i="1" s="1"/>
  <c r="T148" i="1"/>
  <c r="V148" i="1" s="1"/>
  <c r="T130" i="1"/>
  <c r="V130" i="1" s="1"/>
  <c r="T89" i="1"/>
  <c r="V89" i="1" s="1"/>
  <c r="T119" i="1"/>
  <c r="V119" i="1" s="1"/>
  <c r="T109" i="1"/>
  <c r="V109" i="1" s="1"/>
  <c r="T94" i="1"/>
  <c r="V94" i="1" s="1"/>
  <c r="T21" i="1"/>
  <c r="X21" i="1" s="1"/>
  <c r="T28" i="1"/>
  <c r="X28" i="1" s="1"/>
  <c r="T17" i="1"/>
  <c r="X17" i="1" s="1"/>
  <c r="T67" i="1"/>
  <c r="X67" i="1" s="1"/>
  <c r="T72" i="1"/>
  <c r="X72" i="1" s="1"/>
  <c r="T20" i="1"/>
  <c r="X20" i="1" s="1"/>
  <c r="T30" i="1"/>
  <c r="X30" i="1" s="1"/>
  <c r="T63" i="1"/>
  <c r="X63" i="1" s="1"/>
  <c r="T70" i="1"/>
  <c r="X70" i="1" s="1"/>
  <c r="T76" i="1"/>
  <c r="X76" i="1" s="1"/>
  <c r="T27" i="1"/>
  <c r="X27" i="1" s="1"/>
  <c r="T42" i="1"/>
  <c r="X42" i="1" s="1"/>
  <c r="T50" i="1"/>
  <c r="X50" i="1" s="1"/>
  <c r="T65" i="1"/>
  <c r="X65" i="1" s="1"/>
  <c r="T10" i="1"/>
  <c r="X10" i="1" s="1"/>
  <c r="T54" i="1"/>
  <c r="X54" i="1" s="1"/>
  <c r="T53" i="1"/>
  <c r="X53" i="1" s="1"/>
  <c r="T32" i="1"/>
  <c r="X32" i="1" s="1"/>
  <c r="T36" i="1"/>
  <c r="X36" i="1" s="1"/>
  <c r="T56" i="1"/>
  <c r="X56" i="1" s="1"/>
  <c r="T31" i="1"/>
  <c r="X31" i="1" s="1"/>
  <c r="T44" i="1"/>
  <c r="X44" i="1" s="1"/>
  <c r="T52" i="1"/>
  <c r="X52" i="1" s="1"/>
  <c r="T19" i="1"/>
  <c r="X19" i="1" s="1"/>
  <c r="T68" i="1"/>
  <c r="X68" i="1" s="1"/>
  <c r="T114" i="1"/>
  <c r="V114" i="1" s="1"/>
  <c r="T99" i="1"/>
  <c r="V99" i="1" s="1"/>
  <c r="T108" i="1"/>
  <c r="V108" i="1" s="1"/>
  <c r="T139" i="1"/>
  <c r="V139" i="1" s="1"/>
  <c r="T123" i="1"/>
  <c r="V123" i="1" s="1"/>
  <c r="T113" i="1"/>
  <c r="V113" i="1" s="1"/>
  <c r="T98" i="1"/>
  <c r="V98" i="1" s="1"/>
  <c r="T97" i="1"/>
  <c r="V97" i="1" s="1"/>
  <c r="T60" i="1"/>
  <c r="X60" i="1" s="1"/>
  <c r="T151" i="1"/>
  <c r="V151" i="1" s="1"/>
  <c r="T142" i="1"/>
  <c r="V142" i="1" s="1"/>
  <c r="T137" i="1"/>
  <c r="V137" i="1" s="1"/>
  <c r="T128" i="1"/>
  <c r="V128" i="1" s="1"/>
  <c r="T118" i="1"/>
  <c r="V118" i="1" s="1"/>
  <c r="T103" i="1"/>
  <c r="V103" i="1" s="1"/>
  <c r="T87" i="1"/>
  <c r="V87" i="1" s="1"/>
  <c r="T58" i="1"/>
  <c r="X58" i="1" s="1"/>
  <c r="T121" i="1"/>
  <c r="V121" i="1" s="1"/>
  <c r="T112" i="1"/>
  <c r="V112" i="1" s="1"/>
  <c r="T96" i="1"/>
  <c r="V96" i="1" s="1"/>
  <c r="T150" i="1"/>
  <c r="V150" i="1" s="1"/>
  <c r="T141" i="1"/>
  <c r="T127" i="1"/>
  <c r="V127" i="1" s="1"/>
  <c r="T117" i="1"/>
  <c r="V117" i="1" s="1"/>
  <c r="T102" i="1"/>
  <c r="V102" i="1" s="1"/>
  <c r="T86" i="1"/>
  <c r="V86" i="1" s="1"/>
  <c r="T57" i="1"/>
  <c r="X57" i="1" s="1"/>
  <c r="T55" i="1"/>
  <c r="X55" i="1" s="1"/>
  <c r="V145" i="1" l="1"/>
  <c r="X145" i="1"/>
  <c r="V143" i="1"/>
  <c r="X143" i="1"/>
  <c r="V146" i="1"/>
  <c r="X146" i="1"/>
  <c r="V144" i="1"/>
  <c r="X144" i="1"/>
  <c r="V141" i="1"/>
  <c r="X141" i="1"/>
  <c r="V111" i="1"/>
  <c r="X111" i="1"/>
  <c r="X99" i="1"/>
  <c r="X123" i="1"/>
  <c r="X124" i="1"/>
  <c r="X121" i="1"/>
  <c r="X134" i="1"/>
  <c r="X114" i="1"/>
  <c r="X118" i="1"/>
  <c r="X106" i="1"/>
  <c r="X86" i="1"/>
  <c r="X107" i="1"/>
  <c r="X104" i="1"/>
  <c r="X84" i="1"/>
  <c r="X100" i="1"/>
  <c r="X125" i="1"/>
  <c r="X94" i="1"/>
  <c r="X85" i="1"/>
  <c r="X116" i="1"/>
  <c r="X105" i="1"/>
  <c r="X128" i="1"/>
  <c r="X117" i="1"/>
  <c r="X131" i="1"/>
  <c r="X127" i="1"/>
  <c r="X97" i="1"/>
  <c r="X129" i="1"/>
  <c r="X132" i="1"/>
  <c r="X95" i="1"/>
  <c r="X91" i="1"/>
  <c r="X108" i="1"/>
  <c r="X101" i="1"/>
  <c r="X109" i="1"/>
  <c r="X119" i="1"/>
  <c r="X115" i="1"/>
  <c r="X102" i="1"/>
  <c r="X88" i="1"/>
  <c r="X150" i="1"/>
  <c r="X98" i="1"/>
  <c r="X92" i="1"/>
  <c r="X90" i="1"/>
  <c r="X112" i="1"/>
  <c r="X93" i="1"/>
  <c r="X120" i="1"/>
  <c r="X87" i="1"/>
  <c r="X103" i="1"/>
  <c r="X126" i="1"/>
  <c r="X89" i="1"/>
  <c r="X130" i="1"/>
  <c r="X149" i="1"/>
  <c r="X151" i="1"/>
  <c r="X96" i="1"/>
  <c r="X113" i="1"/>
  <c r="X83" i="1"/>
  <c r="X139" i="1"/>
  <c r="Y139" i="1"/>
  <c r="X137" i="1"/>
  <c r="Y137" i="1"/>
  <c r="X142" i="1"/>
  <c r="Y142" i="1"/>
  <c r="Y141" i="1"/>
  <c r="Y145" i="1"/>
  <c r="X147" i="1"/>
  <c r="Y147" i="1"/>
  <c r="X136" i="1"/>
  <c r="Y136" i="1"/>
  <c r="X140" i="1"/>
  <c r="Y140" i="1"/>
  <c r="X148" i="1"/>
  <c r="Y148" i="1"/>
  <c r="Y144" i="1"/>
  <c r="X138" i="1"/>
  <c r="Y138" i="1"/>
  <c r="Y143" i="1"/>
  <c r="Y146" i="1"/>
  <c r="Y151" i="1"/>
  <c r="Y150" i="1"/>
  <c r="Y149" i="1"/>
  <c r="AA151" i="1"/>
  <c r="AA150" i="1"/>
  <c r="V14" i="1"/>
  <c r="AA10" i="1"/>
  <c r="Y114" i="1"/>
  <c r="AA114" i="1"/>
  <c r="Y53" i="1"/>
  <c r="AA53" i="1"/>
  <c r="Y17" i="1"/>
  <c r="AA17" i="1"/>
  <c r="Y129" i="1"/>
  <c r="AA129" i="1"/>
  <c r="Y85" i="1"/>
  <c r="AA85" i="1"/>
  <c r="Y38" i="1"/>
  <c r="AA38" i="1"/>
  <c r="Y37" i="1"/>
  <c r="AA37" i="1"/>
  <c r="Y33" i="1"/>
  <c r="AA33" i="1"/>
  <c r="Y83" i="1"/>
  <c r="AA83" i="1"/>
  <c r="Y124" i="1"/>
  <c r="AA124" i="1"/>
  <c r="AA144" i="1"/>
  <c r="AA149" i="1"/>
  <c r="Y100" i="1"/>
  <c r="AA100" i="1"/>
  <c r="Y86" i="1"/>
  <c r="AA86" i="1"/>
  <c r="Y121" i="1"/>
  <c r="AA121" i="1"/>
  <c r="Y118" i="1"/>
  <c r="AA118" i="1"/>
  <c r="AA142" i="1"/>
  <c r="AA139" i="1"/>
  <c r="Y52" i="1"/>
  <c r="AA52" i="1"/>
  <c r="Y56" i="1"/>
  <c r="AA56" i="1"/>
  <c r="Y65" i="1"/>
  <c r="AA65" i="1"/>
  <c r="Y27" i="1"/>
  <c r="AA27" i="1"/>
  <c r="Y20" i="1"/>
  <c r="AA20" i="1"/>
  <c r="Y28" i="1"/>
  <c r="AA28" i="1"/>
  <c r="Y119" i="1"/>
  <c r="AA119" i="1"/>
  <c r="Y89" i="1"/>
  <c r="AA89" i="1"/>
  <c r="Y88" i="1"/>
  <c r="AA88" i="1"/>
  <c r="AA138" i="1"/>
  <c r="Y95" i="1"/>
  <c r="AA95" i="1"/>
  <c r="Y73" i="1"/>
  <c r="AA73" i="1"/>
  <c r="Y12" i="1"/>
  <c r="AA12" i="1"/>
  <c r="Y22" i="1"/>
  <c r="AA22" i="1"/>
  <c r="Y45" i="1"/>
  <c r="AA45" i="1"/>
  <c r="Y35" i="1"/>
  <c r="AA35" i="1"/>
  <c r="Y14" i="1"/>
  <c r="AA14" i="1"/>
  <c r="Y34" i="1"/>
  <c r="AA34" i="1"/>
  <c r="Y43" i="1"/>
  <c r="AA43" i="1"/>
  <c r="Y26" i="1"/>
  <c r="AA26" i="1"/>
  <c r="Y115" i="1"/>
  <c r="AA115" i="1"/>
  <c r="Y11" i="1"/>
  <c r="AA11" i="1"/>
  <c r="Y92" i="1"/>
  <c r="AA92" i="1"/>
  <c r="Y66" i="1"/>
  <c r="AA66" i="1"/>
  <c r="Y107" i="1"/>
  <c r="AA107" i="1"/>
  <c r="Y91" i="1"/>
  <c r="AA91" i="1"/>
  <c r="Y127" i="1"/>
  <c r="AA127" i="1"/>
  <c r="Y103" i="1"/>
  <c r="AA103" i="1"/>
  <c r="Y109" i="1"/>
  <c r="AA109" i="1"/>
  <c r="Y15" i="1"/>
  <c r="AA15" i="1"/>
  <c r="Y49" i="1"/>
  <c r="AA49" i="1"/>
  <c r="Y44" i="1"/>
  <c r="AA44" i="1"/>
  <c r="Y50" i="1"/>
  <c r="AA50" i="1"/>
  <c r="Y72" i="1"/>
  <c r="AA72" i="1"/>
  <c r="Y48" i="1"/>
  <c r="AA48" i="1"/>
  <c r="Y74" i="1"/>
  <c r="AA74" i="1"/>
  <c r="Y24" i="1"/>
  <c r="AA24" i="1"/>
  <c r="Y41" i="1"/>
  <c r="AA41" i="1"/>
  <c r="Y25" i="1"/>
  <c r="AA25" i="1"/>
  <c r="Y116" i="1"/>
  <c r="AA116" i="1"/>
  <c r="Y106" i="1"/>
  <c r="AA106" i="1"/>
  <c r="AA135" i="1"/>
  <c r="Y84" i="1"/>
  <c r="AA84" i="1"/>
  <c r="Y93" i="1"/>
  <c r="AA93" i="1"/>
  <c r="Y105" i="1"/>
  <c r="AA105" i="1"/>
  <c r="Y132" i="1"/>
  <c r="AA132" i="1"/>
  <c r="Y57" i="1"/>
  <c r="AA57" i="1"/>
  <c r="Y112" i="1"/>
  <c r="AA112" i="1"/>
  <c r="Y123" i="1"/>
  <c r="AA123" i="1"/>
  <c r="Y133" i="1"/>
  <c r="AA133" i="1"/>
  <c r="Y19" i="1"/>
  <c r="AA19" i="1"/>
  <c r="Y31" i="1"/>
  <c r="AA31" i="1"/>
  <c r="Y18" i="1"/>
  <c r="AA18" i="1"/>
  <c r="Y102" i="1"/>
  <c r="AA102" i="1"/>
  <c r="Y58" i="1"/>
  <c r="AA58" i="1"/>
  <c r="Y128" i="1"/>
  <c r="AA128" i="1"/>
  <c r="Y98" i="1"/>
  <c r="AA98" i="1"/>
  <c r="Y36" i="1"/>
  <c r="AA36" i="1"/>
  <c r="Y76" i="1"/>
  <c r="AA76" i="1"/>
  <c r="Y30" i="1"/>
  <c r="AA30" i="1"/>
  <c r="Y21" i="1"/>
  <c r="AA21" i="1"/>
  <c r="Y130" i="1"/>
  <c r="AA130" i="1"/>
  <c r="Y104" i="1"/>
  <c r="AA104" i="1"/>
  <c r="Y111" i="1"/>
  <c r="AA111" i="1"/>
  <c r="Y126" i="1"/>
  <c r="AA126" i="1"/>
  <c r="Y69" i="1"/>
  <c r="AA69" i="1"/>
  <c r="Y47" i="1"/>
  <c r="AA47" i="1"/>
  <c r="Y55" i="1"/>
  <c r="AA55" i="1"/>
  <c r="Y117" i="1"/>
  <c r="AA117" i="1"/>
  <c r="AA141" i="1"/>
  <c r="Y96" i="1"/>
  <c r="AA96" i="1"/>
  <c r="Y87" i="1"/>
  <c r="AA87" i="1"/>
  <c r="AA137" i="1"/>
  <c r="Y60" i="1"/>
  <c r="AA60" i="1"/>
  <c r="Y113" i="1"/>
  <c r="AA113" i="1"/>
  <c r="Y108" i="1"/>
  <c r="AA108" i="1"/>
  <c r="Y99" i="1"/>
  <c r="AA99" i="1"/>
  <c r="Y68" i="1"/>
  <c r="AA68" i="1"/>
  <c r="Y32" i="1"/>
  <c r="AA32" i="1"/>
  <c r="Y54" i="1"/>
  <c r="AA54" i="1"/>
  <c r="Y42" i="1"/>
  <c r="AA42" i="1"/>
  <c r="Y70" i="1"/>
  <c r="AA70" i="1"/>
  <c r="Y67" i="1"/>
  <c r="AA67" i="1"/>
  <c r="Y94" i="1"/>
  <c r="AA94" i="1"/>
  <c r="AA148" i="1"/>
  <c r="AA143" i="1"/>
  <c r="Y120" i="1"/>
  <c r="AA120" i="1"/>
  <c r="Y29" i="1"/>
  <c r="AA29" i="1"/>
  <c r="Y23" i="1"/>
  <c r="AA23" i="1"/>
  <c r="Y51" i="1"/>
  <c r="AA51" i="1"/>
  <c r="Y40" i="1"/>
  <c r="AA40" i="1"/>
  <c r="Y16" i="1"/>
  <c r="AA16" i="1"/>
  <c r="Y101" i="1"/>
  <c r="AA101" i="1"/>
  <c r="AA146" i="1"/>
  <c r="AA140" i="1"/>
  <c r="AA147" i="1"/>
  <c r="Y134" i="1"/>
  <c r="AA134" i="1"/>
  <c r="AA136" i="1"/>
  <c r="Y131" i="1"/>
  <c r="AA131" i="1"/>
  <c r="Y90" i="1"/>
  <c r="AA90" i="1"/>
  <c r="Y125" i="1"/>
  <c r="AA125" i="1"/>
  <c r="Y97" i="1"/>
  <c r="AA97" i="1"/>
  <c r="Y63" i="1"/>
  <c r="AA63" i="1"/>
  <c r="Y59" i="1"/>
  <c r="AA59" i="1"/>
  <c r="Y46" i="1"/>
  <c r="AA46" i="1"/>
  <c r="Y71" i="1"/>
  <c r="AA71" i="1"/>
  <c r="AA145" i="1"/>
  <c r="Y10" i="1"/>
  <c r="AB10" i="1"/>
  <c r="AB115" i="1"/>
  <c r="AB149" i="1"/>
  <c r="AB90" i="1"/>
  <c r="AB125" i="1"/>
  <c r="AB101" i="1"/>
  <c r="AB93" i="1"/>
  <c r="AB105" i="1"/>
  <c r="AB140" i="1"/>
  <c r="AB131" i="1"/>
  <c r="V10" i="1"/>
  <c r="AB107" i="1"/>
  <c r="AB91" i="1"/>
  <c r="AB144" i="1"/>
  <c r="AB124" i="1"/>
  <c r="AB145" i="1"/>
  <c r="AB146" i="1"/>
  <c r="AB135" i="1"/>
  <c r="AB132" i="1"/>
  <c r="AB83" i="1"/>
  <c r="AB84" i="1"/>
  <c r="AB136" i="1"/>
  <c r="V71" i="1"/>
  <c r="V66" i="1"/>
  <c r="AB66" i="1"/>
  <c r="AB92" i="1"/>
  <c r="AB116" i="1"/>
  <c r="AB106" i="1"/>
  <c r="AB100" i="1"/>
  <c r="V11" i="1"/>
  <c r="AB11" i="1"/>
  <c r="AB134" i="1"/>
  <c r="AB71" i="1"/>
  <c r="AB147" i="1"/>
  <c r="AB86" i="1"/>
  <c r="AB57" i="1"/>
  <c r="V57" i="1"/>
  <c r="AB102" i="1"/>
  <c r="AB127" i="1"/>
  <c r="AB150" i="1"/>
  <c r="AB96" i="1"/>
  <c r="AB121" i="1"/>
  <c r="AB87" i="1"/>
  <c r="AB118" i="1"/>
  <c r="AB137" i="1"/>
  <c r="AB142" i="1"/>
  <c r="V60" i="1"/>
  <c r="AB60" i="1"/>
  <c r="AB113" i="1"/>
  <c r="AB99" i="1"/>
  <c r="AB68" i="1"/>
  <c r="V68" i="1"/>
  <c r="AB52" i="1"/>
  <c r="V52" i="1"/>
  <c r="AB56" i="1"/>
  <c r="V56" i="1"/>
  <c r="AB32" i="1"/>
  <c r="V32" i="1"/>
  <c r="V54" i="1"/>
  <c r="AB54" i="1"/>
  <c r="AB65" i="1"/>
  <c r="V65" i="1"/>
  <c r="AB42" i="1"/>
  <c r="V42" i="1"/>
  <c r="AB27" i="1"/>
  <c r="V27" i="1"/>
  <c r="AB70" i="1"/>
  <c r="V70" i="1"/>
  <c r="AB20" i="1"/>
  <c r="V20" i="1"/>
  <c r="V67" i="1"/>
  <c r="AB67" i="1"/>
  <c r="AB28" i="1"/>
  <c r="V28" i="1"/>
  <c r="AB109" i="1"/>
  <c r="AB89" i="1"/>
  <c r="AB148" i="1"/>
  <c r="AB88" i="1"/>
  <c r="AB138" i="1"/>
  <c r="AB143" i="1"/>
  <c r="AB111" i="1"/>
  <c r="AB85" i="1"/>
  <c r="AB126" i="1"/>
  <c r="V15" i="1"/>
  <c r="AB15" i="1"/>
  <c r="V69" i="1"/>
  <c r="AB69" i="1"/>
  <c r="AB46" i="1"/>
  <c r="V46" i="1"/>
  <c r="V48" i="1"/>
  <c r="AB48" i="1"/>
  <c r="AB38" i="1"/>
  <c r="V38" i="1"/>
  <c r="V74" i="1"/>
  <c r="AB74" i="1"/>
  <c r="AB47" i="1"/>
  <c r="V47" i="1"/>
  <c r="AB37" i="1"/>
  <c r="V37" i="1"/>
  <c r="AB23" i="1"/>
  <c r="V23" i="1"/>
  <c r="AB14" i="1"/>
  <c r="V51" i="1"/>
  <c r="AB51" i="1"/>
  <c r="AB43" i="1"/>
  <c r="V43" i="1"/>
  <c r="V40" i="1"/>
  <c r="AB40" i="1"/>
  <c r="V26" i="1"/>
  <c r="AB26" i="1"/>
  <c r="AB16" i="1"/>
  <c r="V16" i="1"/>
  <c r="AB55" i="1"/>
  <c r="V55" i="1"/>
  <c r="AB117" i="1"/>
  <c r="AB141" i="1"/>
  <c r="AB112" i="1"/>
  <c r="V58" i="1"/>
  <c r="AB58" i="1"/>
  <c r="AB103" i="1"/>
  <c r="AB128" i="1"/>
  <c r="AB151" i="1"/>
  <c r="AB97" i="1"/>
  <c r="AB98" i="1"/>
  <c r="AB123" i="1"/>
  <c r="AB139" i="1"/>
  <c r="AB108" i="1"/>
  <c r="AB133" i="1"/>
  <c r="AB114" i="1"/>
  <c r="V19" i="1"/>
  <c r="AB19" i="1"/>
  <c r="V44" i="1"/>
  <c r="AB44" i="1"/>
  <c r="V31" i="1"/>
  <c r="AB31" i="1"/>
  <c r="V36" i="1"/>
  <c r="AB36" i="1"/>
  <c r="AB53" i="1"/>
  <c r="V53" i="1"/>
  <c r="AB50" i="1"/>
  <c r="V50" i="1"/>
  <c r="AB76" i="1"/>
  <c r="V76" i="1"/>
  <c r="V63" i="1"/>
  <c r="AB63" i="1"/>
  <c r="AB30" i="1"/>
  <c r="V30" i="1"/>
  <c r="AB72" i="1"/>
  <c r="V72" i="1"/>
  <c r="V17" i="1"/>
  <c r="AB17" i="1"/>
  <c r="AB21" i="1"/>
  <c r="V21" i="1"/>
  <c r="AB94" i="1"/>
  <c r="AB119" i="1"/>
  <c r="AB130" i="1"/>
  <c r="V59" i="1"/>
  <c r="AB59" i="1"/>
  <c r="AB104" i="1"/>
  <c r="AB129" i="1"/>
  <c r="AB95" i="1"/>
  <c r="AB120" i="1"/>
  <c r="AB73" i="1"/>
  <c r="V73" i="1"/>
  <c r="V12" i="1"/>
  <c r="AB12" i="1"/>
  <c r="AB22" i="1"/>
  <c r="V22" i="1"/>
  <c r="AB29" i="1"/>
  <c r="V29" i="1"/>
  <c r="AB45" i="1"/>
  <c r="V45" i="1"/>
  <c r="AB35" i="1"/>
  <c r="V35" i="1"/>
  <c r="V24" i="1"/>
  <c r="AB24" i="1"/>
  <c r="AB18" i="1"/>
  <c r="V18" i="1"/>
  <c r="AB34" i="1"/>
  <c r="V34" i="1"/>
  <c r="V49" i="1"/>
  <c r="AB49" i="1"/>
  <c r="V41" i="1"/>
  <c r="AB41" i="1"/>
  <c r="AB33" i="1"/>
  <c r="V33" i="1"/>
  <c r="V25" i="1"/>
  <c r="AB25" i="1"/>
  <c r="H6" i="1" l="1"/>
  <c r="C6" i="1"/>
  <c r="C7" i="1"/>
  <c r="D6" i="1" l="1"/>
</calcChain>
</file>

<file path=xl/sharedStrings.xml><?xml version="1.0" encoding="utf-8"?>
<sst xmlns="http://schemas.openxmlformats.org/spreadsheetml/2006/main" count="3767" uniqueCount="864">
  <si>
    <t>Customer No</t>
  </si>
  <si>
    <t>Item No</t>
  </si>
  <si>
    <t>Unit of Measure</t>
  </si>
  <si>
    <t>Color</t>
  </si>
  <si>
    <t>Quantity</t>
  </si>
  <si>
    <t>Unit price</t>
  </si>
  <si>
    <t>Actual sales</t>
  </si>
  <si>
    <t>Cable Description</t>
  </si>
  <si>
    <t>Item size</t>
  </si>
  <si>
    <t>pack</t>
  </si>
  <si>
    <t>length / Pack</t>
  </si>
  <si>
    <t>Packing UOM</t>
  </si>
  <si>
    <t>Unit Packing Tolerence</t>
  </si>
  <si>
    <t>Delivery Tolerance Code</t>
  </si>
  <si>
    <t>N</t>
  </si>
  <si>
    <t>C</t>
  </si>
  <si>
    <t>Y</t>
  </si>
  <si>
    <t>DNYA   001901</t>
  </si>
  <si>
    <t>E(NYM) 000045</t>
  </si>
  <si>
    <t>M</t>
  </si>
  <si>
    <t>FNYAF  000801</t>
  </si>
  <si>
    <t>FNYMHY 000101</t>
  </si>
  <si>
    <t>LIBAN CABLES S.A.L.</t>
  </si>
  <si>
    <t>DAILY ORDERS - FORM</t>
  </si>
  <si>
    <t>Client</t>
  </si>
  <si>
    <t xml:space="preserve">Driver: </t>
  </si>
  <si>
    <t xml:space="preserve">Delivery Date: </t>
  </si>
  <si>
    <t xml:space="preserve"> </t>
  </si>
  <si>
    <t>Vendor</t>
  </si>
  <si>
    <t xml:space="preserve">N.B: </t>
  </si>
  <si>
    <t>Coils</t>
  </si>
  <si>
    <t>Coils Weight</t>
  </si>
  <si>
    <t>TRUCK CAPACITY</t>
  </si>
  <si>
    <t>C/N</t>
  </si>
  <si>
    <t>Drums</t>
  </si>
  <si>
    <t>Drum Weight</t>
  </si>
  <si>
    <t>WHITE</t>
  </si>
  <si>
    <t>BLUE</t>
  </si>
  <si>
    <t>GREY</t>
  </si>
  <si>
    <t>YELLOW</t>
  </si>
  <si>
    <t>BLACK</t>
  </si>
  <si>
    <t>RED</t>
  </si>
  <si>
    <t>GREEN</t>
  </si>
  <si>
    <t>G/Y</t>
  </si>
  <si>
    <t>OTHER</t>
  </si>
  <si>
    <t>TOTAL</t>
  </si>
  <si>
    <t>Weight / Coil</t>
  </si>
  <si>
    <t>BLANC</t>
  </si>
  <si>
    <t>BLEU</t>
  </si>
  <si>
    <t>GRIS</t>
  </si>
  <si>
    <t>JAUNE</t>
  </si>
  <si>
    <t>NOIR</t>
  </si>
  <si>
    <t>ROUGE</t>
  </si>
  <si>
    <t>VERT</t>
  </si>
  <si>
    <t>V/J</t>
  </si>
  <si>
    <t>DIVERS</t>
  </si>
  <si>
    <t>POS</t>
  </si>
  <si>
    <t>Navision Code</t>
  </si>
  <si>
    <t>Packing Type</t>
  </si>
  <si>
    <t>Packing Unit</t>
  </si>
  <si>
    <t>Coil Size</t>
  </si>
  <si>
    <t>TYPE</t>
  </si>
  <si>
    <t>SIZE</t>
  </si>
  <si>
    <t>Cod No</t>
  </si>
  <si>
    <t>B</t>
  </si>
  <si>
    <t>G</t>
  </si>
  <si>
    <t>J</t>
  </si>
  <si>
    <t>R</t>
  </si>
  <si>
    <t>V</t>
  </si>
  <si>
    <t>VJ</t>
  </si>
  <si>
    <t>Blank</t>
  </si>
  <si>
    <t>D10</t>
  </si>
  <si>
    <t>KG</t>
  </si>
  <si>
    <t>Total</t>
  </si>
  <si>
    <t>REM.</t>
  </si>
  <si>
    <t>DNYA   000101</t>
  </si>
  <si>
    <t>DNYA</t>
  </si>
  <si>
    <t>DNYA   001601</t>
  </si>
  <si>
    <t>DNYA   002001</t>
  </si>
  <si>
    <t>FNYAF  000201</t>
  </si>
  <si>
    <t>FNYAF</t>
  </si>
  <si>
    <t>FNYAF  000301</t>
  </si>
  <si>
    <t>FNYAF  000401</t>
  </si>
  <si>
    <t>FNYAF  000501</t>
  </si>
  <si>
    <t>FNYAF  000601</t>
  </si>
  <si>
    <t>FNYAF  000701</t>
  </si>
  <si>
    <t>FNYAF  000901</t>
  </si>
  <si>
    <t>FNYAF  001001</t>
  </si>
  <si>
    <t>FNYAF  001101</t>
  </si>
  <si>
    <t>FNYAF  001010</t>
  </si>
  <si>
    <t>FNYAF  001301</t>
  </si>
  <si>
    <t>FNYZ</t>
  </si>
  <si>
    <t>FNYZ   000301</t>
  </si>
  <si>
    <t>2*0.5</t>
  </si>
  <si>
    <t>FNYZ   000311</t>
  </si>
  <si>
    <t>2*0.5RN</t>
  </si>
  <si>
    <t>FNYZ   000401</t>
  </si>
  <si>
    <t>2*0.75</t>
  </si>
  <si>
    <t>FNYZ   000501</t>
  </si>
  <si>
    <t>2*1.00</t>
  </si>
  <si>
    <t>FNYZ   000511</t>
  </si>
  <si>
    <t>2*1RN</t>
  </si>
  <si>
    <t>FNYZ   000601</t>
  </si>
  <si>
    <t>2*1.5</t>
  </si>
  <si>
    <t>FNYZ   000611</t>
  </si>
  <si>
    <t>2*1.5RN</t>
  </si>
  <si>
    <t>FNYZ   000701</t>
  </si>
  <si>
    <t>2*2</t>
  </si>
  <si>
    <t>FNYZ   000711</t>
  </si>
  <si>
    <t>2*2RN</t>
  </si>
  <si>
    <t>FNYZ   000801</t>
  </si>
  <si>
    <t>2*2.5</t>
  </si>
  <si>
    <t>FNYLHY 000101</t>
  </si>
  <si>
    <t>FNYLHY</t>
  </si>
  <si>
    <t>FNYLHY 000201</t>
  </si>
  <si>
    <t>FNYLHY 000301</t>
  </si>
  <si>
    <t>2*1</t>
  </si>
  <si>
    <t>FNYLHY 000401</t>
  </si>
  <si>
    <t>3*0.5</t>
  </si>
  <si>
    <t>FNYLHY 000501</t>
  </si>
  <si>
    <t>3*0.75</t>
  </si>
  <si>
    <t>FNYLHY 000601</t>
  </si>
  <si>
    <t>3*1</t>
  </si>
  <si>
    <t>FNYLHY 000701</t>
  </si>
  <si>
    <t>4*0.5</t>
  </si>
  <si>
    <t>FNYLHY 000801</t>
  </si>
  <si>
    <t>4*0.75</t>
  </si>
  <si>
    <t>FNYLHY 000901</t>
  </si>
  <si>
    <t>4*1</t>
  </si>
  <si>
    <t>FNYMHY</t>
  </si>
  <si>
    <t>FNYMHY 000201</t>
  </si>
  <si>
    <t>FNYMHY 000301</t>
  </si>
  <si>
    <t>2*4</t>
  </si>
  <si>
    <t>FNYMHY 000401</t>
  </si>
  <si>
    <t>2*6</t>
  </si>
  <si>
    <t>FNYMHY 000501</t>
  </si>
  <si>
    <t>2*10</t>
  </si>
  <si>
    <t>FNYMHY 000801</t>
  </si>
  <si>
    <t>3*1.5</t>
  </si>
  <si>
    <t>FNYMHY 000901</t>
  </si>
  <si>
    <t>3*2.5</t>
  </si>
  <si>
    <t>FNYMHY 001001</t>
  </si>
  <si>
    <t>3*4</t>
  </si>
  <si>
    <t>FNYMHY 001101</t>
  </si>
  <si>
    <t>3*6</t>
  </si>
  <si>
    <t>FNYMHY 001201</t>
  </si>
  <si>
    <t>3*10</t>
  </si>
  <si>
    <t>FNYMHY 001501</t>
  </si>
  <si>
    <t>4*1.5</t>
  </si>
  <si>
    <t>FNYMHY 001601</t>
  </si>
  <si>
    <t>4*2.5</t>
  </si>
  <si>
    <t>FNYMHY 001701</t>
  </si>
  <si>
    <t>4*4</t>
  </si>
  <si>
    <t>4*6</t>
  </si>
  <si>
    <t>FNYMHY 001901</t>
  </si>
  <si>
    <t>4*10</t>
  </si>
  <si>
    <t>E(NYM) 000005</t>
  </si>
  <si>
    <t>E(NYM)</t>
  </si>
  <si>
    <t>2*1.5RE</t>
  </si>
  <si>
    <t>E(NYM) 000009</t>
  </si>
  <si>
    <t>2*2.5RE</t>
  </si>
  <si>
    <t>E(NYM) 000015</t>
  </si>
  <si>
    <t>E(NYM) 000017</t>
  </si>
  <si>
    <t>E(NYM) 000035</t>
  </si>
  <si>
    <t>3*1.5RE</t>
  </si>
  <si>
    <t>3*2.5RE</t>
  </si>
  <si>
    <t>E(NYM) 000060</t>
  </si>
  <si>
    <t>E(NYM) 000065</t>
  </si>
  <si>
    <t>E(NYM) 000105</t>
  </si>
  <si>
    <t>4*1.5RE</t>
  </si>
  <si>
    <t>E(NYM) 000120</t>
  </si>
  <si>
    <t>4*2.5RE</t>
  </si>
  <si>
    <t>E(NYM) 000130</t>
  </si>
  <si>
    <t>E(NYM) 000135</t>
  </si>
  <si>
    <t>E(NYM) 000205</t>
  </si>
  <si>
    <t>3*6+4</t>
  </si>
  <si>
    <t>TLIBTEL000201</t>
  </si>
  <si>
    <t>TLIBTEL</t>
  </si>
  <si>
    <t>01T05</t>
  </si>
  <si>
    <t>TLIBTEL000301</t>
  </si>
  <si>
    <t>2P05</t>
  </si>
  <si>
    <t>TLIBTEL000401</t>
  </si>
  <si>
    <t>3P05</t>
  </si>
  <si>
    <t>TLIBTEL000501</t>
  </si>
  <si>
    <t>4P05</t>
  </si>
  <si>
    <t>TLIBTEL000601</t>
  </si>
  <si>
    <t>5P05</t>
  </si>
  <si>
    <t>TLIBTEL000701</t>
  </si>
  <si>
    <t>6P05</t>
  </si>
  <si>
    <t>TLIBTEL000801</t>
  </si>
  <si>
    <t>7P05</t>
  </si>
  <si>
    <t>TLIBTEL000901</t>
  </si>
  <si>
    <t>8P05</t>
  </si>
  <si>
    <t>TLIBTEL001101</t>
  </si>
  <si>
    <t>10P05</t>
  </si>
  <si>
    <t>TLIBTEL001201</t>
  </si>
  <si>
    <t>15P05</t>
  </si>
  <si>
    <t>TLIBTEL001301</t>
  </si>
  <si>
    <t>20P05</t>
  </si>
  <si>
    <t>TLIBTEL001401</t>
  </si>
  <si>
    <t>25P05</t>
  </si>
  <si>
    <t>TLIBTEL001501</t>
  </si>
  <si>
    <t>30P05</t>
  </si>
  <si>
    <t>TLIBBEL000201</t>
  </si>
  <si>
    <t>TLIBBEL</t>
  </si>
  <si>
    <t>TDWIRE 000155</t>
  </si>
  <si>
    <t>TDWIRE</t>
  </si>
  <si>
    <t>2*0.8//PTT - 100</t>
  </si>
  <si>
    <t>2*0.8//PTT - 250</t>
  </si>
  <si>
    <t>2*0.8//PTT - 500</t>
  </si>
  <si>
    <t>ENYA   000101</t>
  </si>
  <si>
    <t>T</t>
  </si>
  <si>
    <t>ENYA</t>
  </si>
  <si>
    <t>35</t>
  </si>
  <si>
    <t>ENYA   000201</t>
  </si>
  <si>
    <t>ENYA   000301</t>
  </si>
  <si>
    <t>ENYA   000401</t>
  </si>
  <si>
    <t>ENYA   000501</t>
  </si>
  <si>
    <t>ENYA   000601</t>
  </si>
  <si>
    <t>ENYA   000701</t>
  </si>
  <si>
    <t>ENYA   000750</t>
  </si>
  <si>
    <t>FNYAF  001401</t>
  </si>
  <si>
    <t>FNYAF  001501</t>
  </si>
  <si>
    <t>FNYAF  001601</t>
  </si>
  <si>
    <t>FNYAF  001701</t>
  </si>
  <si>
    <t>FNYAF  001801</t>
  </si>
  <si>
    <t>FNYAF  001901</t>
  </si>
  <si>
    <t>FNYAF  002001</t>
  </si>
  <si>
    <t>E(NYM) 000210</t>
  </si>
  <si>
    <t>E(NYM) 000145</t>
  </si>
  <si>
    <t>E(NYM) 000019</t>
  </si>
  <si>
    <t>E(NYM) 000070</t>
  </si>
  <si>
    <t>E(NYM) 000075</t>
  </si>
  <si>
    <t>3*16</t>
  </si>
  <si>
    <t>E(NYM) 000080</t>
  </si>
  <si>
    <t>3*25</t>
  </si>
  <si>
    <t>E(NYM) 000140</t>
  </si>
  <si>
    <t>4*16</t>
  </si>
  <si>
    <t>E(NYM) 000150</t>
  </si>
  <si>
    <t>4*25</t>
  </si>
  <si>
    <t>3*10+6</t>
  </si>
  <si>
    <t>E(NYM) 000215</t>
  </si>
  <si>
    <t>3*16+10</t>
  </si>
  <si>
    <t>E(NYM) 000220</t>
  </si>
  <si>
    <t>3*25+16</t>
  </si>
  <si>
    <t>E(NYY) 001015</t>
  </si>
  <si>
    <t>E(NYY)</t>
  </si>
  <si>
    <t>E(NYY) 001030</t>
  </si>
  <si>
    <t>E(NYY) 001045</t>
  </si>
  <si>
    <t>E(NYY) 001040</t>
  </si>
  <si>
    <t>E(NYY) 001050</t>
  </si>
  <si>
    <t>E(NYY) 001335</t>
  </si>
  <si>
    <t>E(NYY) 000339</t>
  </si>
  <si>
    <t>3*70+35SM/RM</t>
  </si>
  <si>
    <t>E(NYY) 001250</t>
  </si>
  <si>
    <t>3*95+50SM</t>
  </si>
  <si>
    <t>E(NYY) 001260</t>
  </si>
  <si>
    <t>3*120+70SM</t>
  </si>
  <si>
    <t>E(NYY) 001270</t>
  </si>
  <si>
    <t>3*150+70SM</t>
  </si>
  <si>
    <t>E(NYY) 001285</t>
  </si>
  <si>
    <t>3*185+95SM</t>
  </si>
  <si>
    <t>E(NYY) 001295</t>
  </si>
  <si>
    <t>3*240+120SM</t>
  </si>
  <si>
    <t>E(NYY) 004350</t>
  </si>
  <si>
    <t>4*35SM</t>
  </si>
  <si>
    <t>E(NYY) 001080</t>
  </si>
  <si>
    <t>E(NYY) 001065</t>
  </si>
  <si>
    <t>4*70SM</t>
  </si>
  <si>
    <t>E(NYY) 001070</t>
  </si>
  <si>
    <t>4*95SM</t>
  </si>
  <si>
    <t>E(NYY) 001075</t>
  </si>
  <si>
    <t>4*120SM</t>
  </si>
  <si>
    <t>4*150SM</t>
  </si>
  <si>
    <t>E(NYY) 001085</t>
  </si>
  <si>
    <t>4*185SM</t>
  </si>
  <si>
    <t>E(NYY) 001090</t>
  </si>
  <si>
    <t>4*240SM</t>
  </si>
  <si>
    <t>EX     002701</t>
  </si>
  <si>
    <t>EX</t>
  </si>
  <si>
    <t>4x2.5RE</t>
  </si>
  <si>
    <t>EX     002901</t>
  </si>
  <si>
    <t>4x4</t>
  </si>
  <si>
    <t>EX     003201</t>
  </si>
  <si>
    <t>4x6</t>
  </si>
  <si>
    <t>EX     003101</t>
  </si>
  <si>
    <t>4x10</t>
  </si>
  <si>
    <t>4x16</t>
  </si>
  <si>
    <t>EX     003301</t>
  </si>
  <si>
    <t>4x25</t>
  </si>
  <si>
    <t>EX     003402</t>
  </si>
  <si>
    <t>EX     003901</t>
  </si>
  <si>
    <t>EX     003601</t>
  </si>
  <si>
    <t>EX     003701</t>
  </si>
  <si>
    <t>EX     003801</t>
  </si>
  <si>
    <t>EX     004001</t>
  </si>
  <si>
    <t>EX     004101</t>
  </si>
  <si>
    <t>SFC2XU 000280</t>
  </si>
  <si>
    <t>SFC2XU</t>
  </si>
  <si>
    <t>2*1.5//CEI-1</t>
  </si>
  <si>
    <t>SFC2XU 000226</t>
  </si>
  <si>
    <t>2*2.5//CEI-1</t>
  </si>
  <si>
    <t>SFC2XU 000293</t>
  </si>
  <si>
    <t>3*1.5//CEI-1</t>
  </si>
  <si>
    <t>SFC2XU 001350</t>
  </si>
  <si>
    <t>3*2.5//CEI-1</t>
  </si>
  <si>
    <t>SFC2XU 000281</t>
  </si>
  <si>
    <t>4*1.5//CEI-1</t>
  </si>
  <si>
    <t>SFC2XU 000282</t>
  </si>
  <si>
    <t>4*2.5//CEI-1</t>
  </si>
  <si>
    <t>SFC2XU 000283</t>
  </si>
  <si>
    <t>4*4//CEI-1</t>
  </si>
  <si>
    <t>SFC2XU 000367</t>
  </si>
  <si>
    <t>4*6//CEI-1</t>
  </si>
  <si>
    <t>SFC2XU 000285</t>
  </si>
  <si>
    <t>4*10//CEI-1</t>
  </si>
  <si>
    <t>4*16//CEI-1</t>
  </si>
  <si>
    <t>SFC2XU 000432</t>
  </si>
  <si>
    <t>4*25//CEI-1</t>
  </si>
  <si>
    <t>SFC2XU 000378</t>
  </si>
  <si>
    <t>4*35//CEI-1</t>
  </si>
  <si>
    <t>SFC2XU 002019</t>
  </si>
  <si>
    <t>4*50//CEI-1</t>
  </si>
  <si>
    <t>SFC2XU 000446</t>
  </si>
  <si>
    <t>4*70//CEI-1</t>
  </si>
  <si>
    <t>SFC2XU 002018</t>
  </si>
  <si>
    <t>4*95//CEI-1</t>
  </si>
  <si>
    <t>SFC2XU 002017</t>
  </si>
  <si>
    <t>4*120//CEI-1</t>
  </si>
  <si>
    <t>4*150//CEI-1</t>
  </si>
  <si>
    <t>SFC2XU 002020</t>
  </si>
  <si>
    <t>4*185//CEI-1</t>
  </si>
  <si>
    <t>SFC2XU 001689</t>
  </si>
  <si>
    <t>4*240//CEI-1</t>
  </si>
  <si>
    <t>CNUD   000201</t>
  </si>
  <si>
    <t>CNUD</t>
  </si>
  <si>
    <t>CNUD   000301</t>
  </si>
  <si>
    <t>CNUD   000401</t>
  </si>
  <si>
    <t>CNUD   000501</t>
  </si>
  <si>
    <t>CNUD   000601</t>
  </si>
  <si>
    <t>CNUD   000701</t>
  </si>
  <si>
    <t>CNUR   000950</t>
  </si>
  <si>
    <t>CNUR</t>
  </si>
  <si>
    <t>EAXT</t>
  </si>
  <si>
    <t>2*16</t>
  </si>
  <si>
    <t>2*25</t>
  </si>
  <si>
    <t>4*35</t>
  </si>
  <si>
    <t>TAM2D</t>
  </si>
  <si>
    <t>TAM2D  000710</t>
  </si>
  <si>
    <t>55/10P04</t>
  </si>
  <si>
    <t>TAM2D  000720</t>
  </si>
  <si>
    <t>55/20P04</t>
  </si>
  <si>
    <t>TAM2D  000725</t>
  </si>
  <si>
    <t>55/30P04</t>
  </si>
  <si>
    <t>TDM2D  004452</t>
  </si>
  <si>
    <t>TDM2D</t>
  </si>
  <si>
    <t>TDM2D  005416</t>
  </si>
  <si>
    <t>TDM2D  005419</t>
  </si>
  <si>
    <t>BE</t>
  </si>
  <si>
    <t>RN</t>
  </si>
  <si>
    <t>DRUM</t>
  </si>
  <si>
    <t>FNYMHY 001801</t>
  </si>
  <si>
    <t>Weight/KYD</t>
  </si>
  <si>
    <t>KM</t>
  </si>
  <si>
    <t>LIBAN CABLES  SAL</t>
  </si>
  <si>
    <t>PRICE LIST</t>
  </si>
  <si>
    <t>LOCAL DISTRIBUTORS</t>
  </si>
  <si>
    <t>Prices in  LL/KM</t>
  </si>
  <si>
    <t>DISCOUNT</t>
  </si>
  <si>
    <t>Dia : 1 mm</t>
  </si>
  <si>
    <t>3/0.029</t>
  </si>
  <si>
    <t>1.5(3)</t>
  </si>
  <si>
    <t>2x0.5</t>
  </si>
  <si>
    <t>2x0.75</t>
  </si>
  <si>
    <t>2x1</t>
  </si>
  <si>
    <t>2x1.5</t>
  </si>
  <si>
    <t>2x2</t>
  </si>
  <si>
    <t>2x2.5</t>
  </si>
  <si>
    <t>3x0.5</t>
  </si>
  <si>
    <t>3x0.75</t>
  </si>
  <si>
    <t>3x1</t>
  </si>
  <si>
    <t>4x0.5</t>
  </si>
  <si>
    <t>4x0.75</t>
  </si>
  <si>
    <t>4x1</t>
  </si>
  <si>
    <t>2x4</t>
  </si>
  <si>
    <t>2x6</t>
  </si>
  <si>
    <t>3x1.5</t>
  </si>
  <si>
    <t>3x2.5</t>
  </si>
  <si>
    <t>3x4</t>
  </si>
  <si>
    <t>3x6</t>
  </si>
  <si>
    <t>4x1.5</t>
  </si>
  <si>
    <t>4x2.5</t>
  </si>
  <si>
    <t>2x10</t>
  </si>
  <si>
    <t>3x10</t>
  </si>
  <si>
    <t>2x1.5RE</t>
  </si>
  <si>
    <t>2x2.5RE</t>
  </si>
  <si>
    <t>3x1.5RE</t>
  </si>
  <si>
    <t>3x2.5RE</t>
  </si>
  <si>
    <t>4x1.5RE</t>
  </si>
  <si>
    <t>3x6+4</t>
  </si>
  <si>
    <t>3x16</t>
  </si>
  <si>
    <t>3x25</t>
  </si>
  <si>
    <t>3x10+6</t>
  </si>
  <si>
    <t>3x16+10</t>
  </si>
  <si>
    <t>3x25+16</t>
  </si>
  <si>
    <t>3x35+16</t>
  </si>
  <si>
    <t>3x50+25</t>
  </si>
  <si>
    <t>3x70+35</t>
  </si>
  <si>
    <t>3x95+50</t>
  </si>
  <si>
    <t>3x120+70</t>
  </si>
  <si>
    <t>3x150+70</t>
  </si>
  <si>
    <t>3x185+95</t>
  </si>
  <si>
    <t>3x240+120</t>
  </si>
  <si>
    <t>4x35</t>
  </si>
  <si>
    <t>4x50</t>
  </si>
  <si>
    <t>4x70</t>
  </si>
  <si>
    <t>4x95</t>
  </si>
  <si>
    <t>4x120</t>
  </si>
  <si>
    <t>4x150</t>
  </si>
  <si>
    <t>4x185</t>
  </si>
  <si>
    <t>4x240</t>
  </si>
  <si>
    <t>1x3x0.5</t>
  </si>
  <si>
    <t>2x2x0.5</t>
  </si>
  <si>
    <t>3x2x0.5</t>
  </si>
  <si>
    <t>4x2x0.5</t>
  </si>
  <si>
    <t>5x2x0.5</t>
  </si>
  <si>
    <t>6x2x0.5</t>
  </si>
  <si>
    <t>7x2x0.5</t>
  </si>
  <si>
    <t>8x2x0.5</t>
  </si>
  <si>
    <t>10x2x0.5</t>
  </si>
  <si>
    <t>15x2x0.5</t>
  </si>
  <si>
    <t>20x2x0.5</t>
  </si>
  <si>
    <t>25x2x0.5</t>
  </si>
  <si>
    <t>30x2x0.5</t>
  </si>
  <si>
    <t>50x2x0.5</t>
  </si>
  <si>
    <t>100x2x0.5</t>
  </si>
  <si>
    <t>2x0.8</t>
  </si>
  <si>
    <t>50 mm</t>
  </si>
  <si>
    <t>70 mm</t>
  </si>
  <si>
    <t>95 mm</t>
  </si>
  <si>
    <t>120 mm</t>
  </si>
  <si>
    <t>150 mm</t>
  </si>
  <si>
    <t>185 mm</t>
  </si>
  <si>
    <t>240 mm</t>
  </si>
  <si>
    <t>CONTROL NYMHY</t>
  </si>
  <si>
    <t>6x1.5 mm</t>
  </si>
  <si>
    <t>8x1.5 mm</t>
  </si>
  <si>
    <t>12x1.5 mm</t>
  </si>
  <si>
    <t>16x1.5 mm</t>
  </si>
  <si>
    <t>24x1.5 mm</t>
  </si>
  <si>
    <t>EAXT (TORSADES)</t>
  </si>
  <si>
    <t>2*16MM</t>
  </si>
  <si>
    <t>2*25MM</t>
  </si>
  <si>
    <t>4X16MM</t>
  </si>
  <si>
    <t>4X25MM</t>
  </si>
  <si>
    <t>4*35MM</t>
  </si>
  <si>
    <t>E(NYY) 001035</t>
  </si>
  <si>
    <t>EX     003001</t>
  </si>
  <si>
    <t>FNYMHY 002015</t>
  </si>
  <si>
    <t>FNYMHY 002016</t>
  </si>
  <si>
    <t>FNYMHY 002017</t>
  </si>
  <si>
    <t>FNYMHY 002018</t>
  </si>
  <si>
    <t>FNYMHY 002019</t>
  </si>
  <si>
    <t>FNYMHY 002020</t>
  </si>
  <si>
    <t>FNYMHY 002251</t>
  </si>
  <si>
    <t>FNYMHY 002401</t>
  </si>
  <si>
    <t>FNYMHY 002601</t>
  </si>
  <si>
    <t>FNYMHY 002801</t>
  </si>
  <si>
    <t>FNYMHY 003001</t>
  </si>
  <si>
    <t>TRUCK LOAD (KG)</t>
  </si>
  <si>
    <t>Value (USD)</t>
  </si>
  <si>
    <t>E(NYY) 000235</t>
  </si>
  <si>
    <t>4*50</t>
  </si>
  <si>
    <t>EX     003425</t>
  </si>
  <si>
    <t>2*1.5//BLACK</t>
  </si>
  <si>
    <t>3*1.5//BLACK</t>
  </si>
  <si>
    <t>4*1.5//BLACK</t>
  </si>
  <si>
    <t>2*2.5//BLACK</t>
  </si>
  <si>
    <t>3*2.5//BLACK</t>
  </si>
  <si>
    <t>4*2.5//BLACK</t>
  </si>
  <si>
    <t>Description</t>
  </si>
  <si>
    <t>Value + VAT</t>
  </si>
  <si>
    <t>Size</t>
  </si>
  <si>
    <t>UOM</t>
  </si>
  <si>
    <t>KG/CU/UOM</t>
  </si>
  <si>
    <t>UP (US$/UOM)</t>
  </si>
  <si>
    <t>Coil</t>
  </si>
  <si>
    <t>KYD</t>
  </si>
  <si>
    <t>Drum</t>
  </si>
  <si>
    <t>Date:  01/01/2019</t>
  </si>
  <si>
    <t>DROP WIRE</t>
  </si>
  <si>
    <t>EAXT 2*16//E (EAXT...000148)</t>
  </si>
  <si>
    <t>EAXT 2*25//E (EAXT...000151)</t>
  </si>
  <si>
    <t>EAXT 4*16//E (EAXT...000152)</t>
  </si>
  <si>
    <t>EAXT 4*25//E (EAXT...000212)</t>
  </si>
  <si>
    <t>EAXT 4*35//E (EAXT...000215)</t>
  </si>
  <si>
    <t>TLIBTEL001801</t>
  </si>
  <si>
    <t>EAXT   000373</t>
  </si>
  <si>
    <t>3*95+54.6+16</t>
  </si>
  <si>
    <t>Discount</t>
  </si>
  <si>
    <t>CO(KG)</t>
  </si>
  <si>
    <t>AL(KG)</t>
  </si>
  <si>
    <t>CO(T)</t>
  </si>
  <si>
    <t>AL(T)</t>
  </si>
  <si>
    <t>UP $/UOM</t>
  </si>
  <si>
    <t>QTY (KYD)</t>
  </si>
  <si>
    <t>QTY (KM)</t>
  </si>
  <si>
    <t>No.</t>
  </si>
  <si>
    <t>Name</t>
  </si>
  <si>
    <t>ELECTROMEC</t>
  </si>
  <si>
    <t>RAFIC GHAZZAOUI &amp; CO.</t>
  </si>
  <si>
    <t>HARB ELECTRIC FOR CABLES</t>
  </si>
  <si>
    <t>TECH ELECTRIC</t>
  </si>
  <si>
    <t>2x16MM</t>
  </si>
  <si>
    <t>2x25MM</t>
  </si>
  <si>
    <t>EAXT   000148</t>
  </si>
  <si>
    <t>EAXT   000151</t>
  </si>
  <si>
    <t>EAXT   000152</t>
  </si>
  <si>
    <t>EAXT   000212</t>
  </si>
  <si>
    <t>EAXT   000215</t>
  </si>
  <si>
    <t>MRAD ELECTRIC SAL</t>
  </si>
  <si>
    <t>4x35MM</t>
  </si>
  <si>
    <t>Maya Naamani</t>
  </si>
  <si>
    <t>DNYA 1.5(3)//FILVIT-PASSEO</t>
  </si>
  <si>
    <t>DNYA   000921</t>
  </si>
  <si>
    <t>DNYA   000923</t>
  </si>
  <si>
    <t>DNYA 2.5//FILVIT-PASSEO</t>
  </si>
  <si>
    <t>DNYA   000924</t>
  </si>
  <si>
    <t>DNYA   000925</t>
  </si>
  <si>
    <t>DNYA 4//FILVIT-PASSEO</t>
  </si>
  <si>
    <t>DNYA   000926</t>
  </si>
  <si>
    <t>F5YY   000752</t>
  </si>
  <si>
    <t>F5YY   000753</t>
  </si>
  <si>
    <t>F5YY   000750</t>
  </si>
  <si>
    <t>F5YY   000751</t>
  </si>
  <si>
    <t>DNYA   000177</t>
  </si>
  <si>
    <t>CNUD   000633</t>
  </si>
  <si>
    <t>CNUD   000705</t>
  </si>
  <si>
    <t>F5YY 1*4//SP-R</t>
  </si>
  <si>
    <t>F5YY 1*4//SP-B</t>
  </si>
  <si>
    <t>F5YY 1*6//SP-B</t>
  </si>
  <si>
    <t>F5YY 1*6//SP-R</t>
  </si>
  <si>
    <t>DNYA 6//FILVIT</t>
  </si>
  <si>
    <t>DNYA 10</t>
  </si>
  <si>
    <t>DNYA 25</t>
  </si>
  <si>
    <t>F5YY</t>
  </si>
  <si>
    <t>DNYA   16</t>
  </si>
  <si>
    <t>ENYA   35</t>
  </si>
  <si>
    <t>CNUD   50//M</t>
  </si>
  <si>
    <t>CNUD   70//M</t>
  </si>
  <si>
    <t>3*35+16</t>
  </si>
  <si>
    <t>3*50+25</t>
  </si>
  <si>
    <t>E(NYY) 000340</t>
  </si>
  <si>
    <t>CUST00031</t>
  </si>
  <si>
    <t>CUST00032</t>
  </si>
  <si>
    <t>CUST00033</t>
  </si>
  <si>
    <t>ALI TLAYSS &amp; CO. S.A.L.</t>
  </si>
  <si>
    <t>CUST00038</t>
  </si>
  <si>
    <t>CUST00037</t>
  </si>
  <si>
    <t>CUST00035</t>
  </si>
  <si>
    <t>DNYA   001177</t>
  </si>
  <si>
    <t>DNYA   000416</t>
  </si>
  <si>
    <t>DNYA   001180</t>
  </si>
  <si>
    <t>ENYA   001102</t>
  </si>
  <si>
    <t>2*16//E</t>
  </si>
  <si>
    <t>2*25//E</t>
  </si>
  <si>
    <t>4*16//E</t>
  </si>
  <si>
    <t>4*25//E</t>
  </si>
  <si>
    <t>4*35//E</t>
  </si>
  <si>
    <t>E(NYY) 001251</t>
  </si>
  <si>
    <t xml:space="preserve"> 3*50+25</t>
  </si>
  <si>
    <t>3*95+50SM/RM</t>
  </si>
  <si>
    <t xml:space="preserve"> 3*150+70SM</t>
  </si>
  <si>
    <t xml:space="preserve"> 3*185+95SM</t>
  </si>
  <si>
    <t xml:space="preserve"> 3*240+120SM</t>
  </si>
  <si>
    <t xml:space="preserve"> 4*35</t>
  </si>
  <si>
    <t xml:space="preserve"> 4*50</t>
  </si>
  <si>
    <t xml:space="preserve"> 4*70SM</t>
  </si>
  <si>
    <t xml:space="preserve"> 4*95SM</t>
  </si>
  <si>
    <t xml:space="preserve"> 4*120SM</t>
  </si>
  <si>
    <t xml:space="preserve"> 4*150SM</t>
  </si>
  <si>
    <t xml:space="preserve"> 4*185SM</t>
  </si>
  <si>
    <t xml:space="preserve"> 4*240SM</t>
  </si>
  <si>
    <t>DNYA 1D</t>
  </si>
  <si>
    <t>DNYA 3/0.029//FILVIT-PASSEO</t>
  </si>
  <si>
    <t>DNYA 2//FILVIT-PASSEO</t>
  </si>
  <si>
    <t>DNYA 3//FILVIT-PASSEO</t>
  </si>
  <si>
    <t>DNYA 6//FILVIT-PASSEO</t>
  </si>
  <si>
    <t>DNYA   000920</t>
  </si>
  <si>
    <t>DNYA   000922</t>
  </si>
  <si>
    <t>SH1Z2Z2000047</t>
  </si>
  <si>
    <t>SH1Z2Z2000022</t>
  </si>
  <si>
    <t>SH1Z2Z2000050</t>
  </si>
  <si>
    <t>SH1Z2Z2000051</t>
  </si>
  <si>
    <t>SH1Z2Z2000052</t>
  </si>
  <si>
    <t>SH1Z2Z2000053</t>
  </si>
  <si>
    <t>SH1Z2Z2 1*10//PV-R</t>
  </si>
  <si>
    <t>SH1Z2Z2 1*10//PV</t>
  </si>
  <si>
    <t>SH1Z2Z2 1*4//PV-MOBIWAY</t>
  </si>
  <si>
    <t>SH1Z2Z2 1*4//PV-R-MOBIWAY</t>
  </si>
  <si>
    <t>SH1Z2Z2 1*6//PV-MOBIWAY</t>
  </si>
  <si>
    <t>SH1Z2Z2 1*6//PV-R-MOBIWAY</t>
  </si>
  <si>
    <t>SH1Z2Z2</t>
  </si>
  <si>
    <t>6//FILVIT-T</t>
  </si>
  <si>
    <t>10//T</t>
  </si>
  <si>
    <t>16//T</t>
  </si>
  <si>
    <t>25//T</t>
  </si>
  <si>
    <t>50//M</t>
  </si>
  <si>
    <t>70//M</t>
  </si>
  <si>
    <t>SH1Z2Z2000060</t>
  </si>
  <si>
    <t>SH1Z2Z2000061</t>
  </si>
  <si>
    <t>SH1Z2Z2000062</t>
  </si>
  <si>
    <t>SH1Z2Z2000063</t>
  </si>
  <si>
    <t>SH1Z2Z21*4//PV-MOBIWAY-       </t>
  </si>
  <si>
    <t>SH1Z2Z21*4//PV-R-MOBIWAY-     </t>
  </si>
  <si>
    <t>SH1Z2Z21*6//PV-MOBIWAY-       </t>
  </si>
  <si>
    <t>SH1Z2Z21*6//PV-R-MOBIWAY-     </t>
  </si>
  <si>
    <t>Nexans</t>
  </si>
  <si>
    <t>Code</t>
  </si>
  <si>
    <t>Length/Pack</t>
  </si>
  <si>
    <t>UOM/PACK2</t>
  </si>
  <si>
    <t>US$/UOM2</t>
  </si>
  <si>
    <t>Yard</t>
  </si>
  <si>
    <t>4 D</t>
  </si>
  <si>
    <t>Meter</t>
  </si>
  <si>
    <t>DNYA 6//FILVIT-T</t>
  </si>
  <si>
    <t>6 D</t>
  </si>
  <si>
    <t>DNYA 10//T</t>
  </si>
  <si>
    <t>10 D</t>
  </si>
  <si>
    <t>DNYA 16</t>
  </si>
  <si>
    <t>DNYA 16//T</t>
  </si>
  <si>
    <t>16 D</t>
  </si>
  <si>
    <t>DNYA 25//T</t>
  </si>
  <si>
    <t>25 D</t>
  </si>
  <si>
    <t>ENYA 35</t>
  </si>
  <si>
    <t xml:space="preserve">ENYA   35//T                  </t>
  </si>
  <si>
    <t>35 D</t>
  </si>
  <si>
    <t>TLIBBEL 2*0.5</t>
  </si>
  <si>
    <t>2x0.5 T</t>
  </si>
  <si>
    <t>FNYZ 2*0.5</t>
  </si>
  <si>
    <t>2x0.5 NYZ</t>
  </si>
  <si>
    <t>FNYZ 2*1</t>
  </si>
  <si>
    <t>2x1 NYZ</t>
  </si>
  <si>
    <t>FNYZ 2*2</t>
  </si>
  <si>
    <t>2x2 NYZ</t>
  </si>
  <si>
    <t>FNYZ 2*1.5</t>
  </si>
  <si>
    <t>2x1.5 NYZ</t>
  </si>
  <si>
    <t>FNYZ 2*2.5</t>
  </si>
  <si>
    <t>2x2.5 NYZ</t>
  </si>
  <si>
    <t>FNYZ 2*0.5RN</t>
  </si>
  <si>
    <t>2x0.5RN</t>
  </si>
  <si>
    <t>FNYZ 2*1RN</t>
  </si>
  <si>
    <t>2x1RN</t>
  </si>
  <si>
    <t>FNYZ 2*1.5RN</t>
  </si>
  <si>
    <t>2x1.5RN</t>
  </si>
  <si>
    <t>FNYZ 2*2RN</t>
  </si>
  <si>
    <t>2x2RN</t>
  </si>
  <si>
    <t>FNYLHY 2*1</t>
  </si>
  <si>
    <t xml:space="preserve">2x1 </t>
  </si>
  <si>
    <t>FNYLHY 4*1</t>
  </si>
  <si>
    <t>FNYMHY 2*1.5</t>
  </si>
  <si>
    <t>2x1.5 F</t>
  </si>
  <si>
    <t>FNYMHY 2*2.5</t>
  </si>
  <si>
    <t>2x2.5 F</t>
  </si>
  <si>
    <t>FNYMHY 2*4</t>
  </si>
  <si>
    <t>2x4 F</t>
  </si>
  <si>
    <t>FNYMHY 2*6</t>
  </si>
  <si>
    <t>2x6 F</t>
  </si>
  <si>
    <t>FNYMHY 3*1.5</t>
  </si>
  <si>
    <t>3x1.5 F</t>
  </si>
  <si>
    <t>FNYMHY 3*2.5</t>
  </si>
  <si>
    <t>3x2.5 F</t>
  </si>
  <si>
    <t>FNYMHY 3*4</t>
  </si>
  <si>
    <t>3x4 F</t>
  </si>
  <si>
    <t>FNYMHY 3*6</t>
  </si>
  <si>
    <t>3x6 F</t>
  </si>
  <si>
    <t>FNYMHY 4*1.5</t>
  </si>
  <si>
    <t>4x1.5 F</t>
  </si>
  <si>
    <t>FNYMHY 4*2.5</t>
  </si>
  <si>
    <t>4x2.5 F</t>
  </si>
  <si>
    <t>FNYMHY 4*4</t>
  </si>
  <si>
    <t>4x4 F</t>
  </si>
  <si>
    <t>FNYMHY 4*6</t>
  </si>
  <si>
    <t>4x6 F</t>
  </si>
  <si>
    <t>FNYMHY 2*10</t>
  </si>
  <si>
    <t>2x10 F</t>
  </si>
  <si>
    <t>FNYMHY 3*10</t>
  </si>
  <si>
    <t>3x10 F</t>
  </si>
  <si>
    <t>FNYMHY 4*10</t>
  </si>
  <si>
    <t>4x10 F</t>
  </si>
  <si>
    <t>FNYMHY 2*1.5//BLACK</t>
  </si>
  <si>
    <t>2x1.5 B</t>
  </si>
  <si>
    <t>FNYMHY 2*2.5//BLACK</t>
  </si>
  <si>
    <t>2x2.5 B</t>
  </si>
  <si>
    <t>FNYMHY 3*1.5//BLACK</t>
  </si>
  <si>
    <t>3x1.5 B</t>
  </si>
  <si>
    <t>FNYMHY 3*2.5//BLACK</t>
  </si>
  <si>
    <t>3x2.5 B</t>
  </si>
  <si>
    <t>FNYMHY 4*1.5//BLACK</t>
  </si>
  <si>
    <t>4x1.5 B</t>
  </si>
  <si>
    <t>FNYMHY 4*2.5//BLACK</t>
  </si>
  <si>
    <t>4x2.5 B</t>
  </si>
  <si>
    <t>FNYAF 1</t>
  </si>
  <si>
    <t>1 F</t>
  </si>
  <si>
    <t>FNYAF 1.5</t>
  </si>
  <si>
    <t>1.5 F</t>
  </si>
  <si>
    <t>FNYAF 2</t>
  </si>
  <si>
    <t>2 F</t>
  </si>
  <si>
    <t>FNYAF 2.5</t>
  </si>
  <si>
    <t>2.5 F</t>
  </si>
  <si>
    <t>FNYAF 4</t>
  </si>
  <si>
    <t>4 F</t>
  </si>
  <si>
    <t>FNYAF 6</t>
  </si>
  <si>
    <t>6 F</t>
  </si>
  <si>
    <t>FNYAF 10</t>
  </si>
  <si>
    <t>10 F</t>
  </si>
  <si>
    <t>FNYAF 16</t>
  </si>
  <si>
    <t>16 F</t>
  </si>
  <si>
    <t>FNYAF 25</t>
  </si>
  <si>
    <t>25 F</t>
  </si>
  <si>
    <t>FNYAF 35</t>
  </si>
  <si>
    <t>35 F</t>
  </si>
  <si>
    <t>E(NYM) 2*1.5RE</t>
  </si>
  <si>
    <t>E(NYM) 2*2.5RE</t>
  </si>
  <si>
    <t>E(NYM) 2*4</t>
  </si>
  <si>
    <t>2x4NYM</t>
  </si>
  <si>
    <t>E(NYM) 2*6</t>
  </si>
  <si>
    <t>2x6NYM</t>
  </si>
  <si>
    <t>E(NYM) 3*1.5RE</t>
  </si>
  <si>
    <t>E(NYM) 3*2.5RE</t>
  </si>
  <si>
    <t>E(NYM) 3*4</t>
  </si>
  <si>
    <t>3x4NYM</t>
  </si>
  <si>
    <t>E(NYM) 3*6</t>
  </si>
  <si>
    <t>3x6NYM</t>
  </si>
  <si>
    <t>E(NYM) 4*1.5RE</t>
  </si>
  <si>
    <t>E(NYM) 4*2.5RE</t>
  </si>
  <si>
    <t>E(NYM) 4*4</t>
  </si>
  <si>
    <t>4x4NYM</t>
  </si>
  <si>
    <t>E(NYM) 4*6</t>
  </si>
  <si>
    <t>4x6NYM</t>
  </si>
  <si>
    <t>E(NYM) 2*10</t>
  </si>
  <si>
    <t>E(NYM) 3*10</t>
  </si>
  <si>
    <t>E(NYM) 3*16</t>
  </si>
  <si>
    <t>E(NYM) 4*10</t>
  </si>
  <si>
    <t>E(NYM) 4*16</t>
  </si>
  <si>
    <t>E(NYM) 4*25</t>
  </si>
  <si>
    <t>E(NYM) 3*10+6</t>
  </si>
  <si>
    <t>E(NYM) 3*16+10</t>
  </si>
  <si>
    <t>E(NYM) 3*25+16</t>
  </si>
  <si>
    <t>E(NYY) 3*35+16</t>
  </si>
  <si>
    <t>E(NYY) 3*50+25</t>
  </si>
  <si>
    <t>E(NYY) 3*70+35SM/RM</t>
  </si>
  <si>
    <t>E(NYY) 3*95+50SM/RM</t>
  </si>
  <si>
    <t>E(NYY) 3*120+70SM</t>
  </si>
  <si>
    <t>E(NYY) 3*150+70SM</t>
  </si>
  <si>
    <t>E(NYY) 3*185+95SM</t>
  </si>
  <si>
    <t>E(NYY) 3*240+120SM</t>
  </si>
  <si>
    <t>E(NYY) 4*35</t>
  </si>
  <si>
    <t>E(NYY) 4*50</t>
  </si>
  <si>
    <t>E(NYY) 4*70SM</t>
  </si>
  <si>
    <t>E(NYY) 4*95SM</t>
  </si>
  <si>
    <t>E(NYY) 4*120SM</t>
  </si>
  <si>
    <t>E(NYY) 4*150SM</t>
  </si>
  <si>
    <t>E(NYY) 4*185SM</t>
  </si>
  <si>
    <t>E(NYY) 4*240SM</t>
  </si>
  <si>
    <t>EX 4*35</t>
  </si>
  <si>
    <t>EX 4*50</t>
  </si>
  <si>
    <t>EX 4*95SM</t>
  </si>
  <si>
    <t>EX 4*120SM</t>
  </si>
  <si>
    <t>EX 4*150SM</t>
  </si>
  <si>
    <t>EX 4*240SM</t>
  </si>
  <si>
    <t>TLIBTEL 1T05</t>
  </si>
  <si>
    <t>TLIBTEL 2P05</t>
  </si>
  <si>
    <t>TLIBTEL 3P05</t>
  </si>
  <si>
    <t>TLIBTEL 4P05</t>
  </si>
  <si>
    <t>TLIBTEL 5P05</t>
  </si>
  <si>
    <t>TLIBTEL 6P05</t>
  </si>
  <si>
    <t>TLIBTEL 8P05</t>
  </si>
  <si>
    <t>TLIBTEL 10P05</t>
  </si>
  <si>
    <t>TLIBTEL 15P05</t>
  </si>
  <si>
    <t>TLIBTEL 20P05</t>
  </si>
  <si>
    <t>TLIBTEL 51P05</t>
  </si>
  <si>
    <t>TDWIRE 2*0.8//PTT</t>
  </si>
  <si>
    <t>ENYA 50</t>
  </si>
  <si>
    <t>DRUMS</t>
  </si>
  <si>
    <t>ENYA 70</t>
  </si>
  <si>
    <t>ENYA 95</t>
  </si>
  <si>
    <t>ENYA 120</t>
  </si>
  <si>
    <t>ENYA 150</t>
  </si>
  <si>
    <t>ENYA 185</t>
  </si>
  <si>
    <t>ENYA 240</t>
  </si>
  <si>
    <t>FNYAF 50</t>
  </si>
  <si>
    <t>50 F</t>
  </si>
  <si>
    <t>FNYAF 70</t>
  </si>
  <si>
    <t>70 F</t>
  </si>
  <si>
    <t>FNYAF 95</t>
  </si>
  <si>
    <t>95 F</t>
  </si>
  <si>
    <t>FNYAF 120</t>
  </si>
  <si>
    <t>120 F</t>
  </si>
  <si>
    <t>FNYAF 150</t>
  </si>
  <si>
    <t>150 F</t>
  </si>
  <si>
    <t>FNYAF 185</t>
  </si>
  <si>
    <t>185 F</t>
  </si>
  <si>
    <t>FNYAF 240</t>
  </si>
  <si>
    <t>240 F</t>
  </si>
  <si>
    <t>FNYMHY 6*1.5</t>
  </si>
  <si>
    <t>6*1.5</t>
  </si>
  <si>
    <t>FNYMHY 8*1.5</t>
  </si>
  <si>
    <t>8*1.5</t>
  </si>
  <si>
    <t>FNYMHY 12*1.5</t>
  </si>
  <si>
    <t>12*1.5</t>
  </si>
  <si>
    <t>CNUD 50//M</t>
  </si>
  <si>
    <t>CNUD 70//M</t>
  </si>
  <si>
    <t>SOLAR</t>
  </si>
  <si>
    <t>1*10//PV-R</t>
  </si>
  <si>
    <t>1*10//PV</t>
  </si>
  <si>
    <t>1*4//PV-MOBIWAY</t>
  </si>
  <si>
    <t>MOBIWAY</t>
  </si>
  <si>
    <t>1*4//PV-R-MOBIWAY</t>
  </si>
  <si>
    <t>1*6//PV-MOBIWAY</t>
  </si>
  <si>
    <t>1*6//PV-R-MOBIWAY</t>
  </si>
  <si>
    <t>DNYA 001176</t>
  </si>
  <si>
    <t>DNYA 001177</t>
  </si>
  <si>
    <t>4//FILVIT-T</t>
  </si>
  <si>
    <t>DNYA 4//FILVIT-T</t>
  </si>
  <si>
    <t>DNYA 001178</t>
  </si>
  <si>
    <t>35//T</t>
  </si>
  <si>
    <t>Please note that this purchase order is considered approved and final from the customer’s side, and is deemed signed</t>
  </si>
  <si>
    <t>FNYMHY 000688</t>
  </si>
  <si>
    <t>FNYMHY 2*2.5//MOBIWAY-MET</t>
  </si>
  <si>
    <t>FNYMHY 000689</t>
  </si>
  <si>
    <t>FNYMHY 2*1.5//MOBIWAY-MET</t>
  </si>
  <si>
    <t>FNYZ   2*1.5RN//MOBIWAY</t>
  </si>
  <si>
    <t>RECDMV023-01</t>
  </si>
  <si>
    <t>FNYZ   2*1.5//MOBIWAY</t>
  </si>
  <si>
    <t>2*2.5//MOBIWAY-MET</t>
  </si>
  <si>
    <t>2*1.5//MOBIWAY-MET</t>
  </si>
  <si>
    <t>2*1.5RN//MOBIWAY</t>
  </si>
  <si>
    <t>2*1.5//MOBIWAY</t>
  </si>
  <si>
    <t>FNYLHY 2*0.5</t>
  </si>
  <si>
    <t>2X1</t>
  </si>
  <si>
    <t>E(NYM) 000021</t>
  </si>
  <si>
    <t>E(NYM) 2*16</t>
  </si>
  <si>
    <t>2x16</t>
  </si>
  <si>
    <t xml:space="preserve">E(NYM) </t>
  </si>
  <si>
    <t>SH1Z2Z21*6//PV-MOBI-UNREEL</t>
  </si>
  <si>
    <t>SH1Z2Z21*6//PV-R-MOBI-UNREEL</t>
  </si>
  <si>
    <t>SH1Z2Z2000153</t>
  </si>
  <si>
    <t>SH1Z2Z2000152</t>
  </si>
  <si>
    <t>EAXT 004045</t>
  </si>
  <si>
    <t xml:space="preserve">EAXT 3*50+54.6//E </t>
  </si>
  <si>
    <t xml:space="preserve">3*50+54.6//E </t>
  </si>
  <si>
    <t>EAXT 000862</t>
  </si>
  <si>
    <t>EAXT 3*70+54.6//E</t>
  </si>
  <si>
    <t>EAXT 000875</t>
  </si>
  <si>
    <t>EAXT 3*150+70//E</t>
  </si>
  <si>
    <t>3*70+54.6//E</t>
  </si>
  <si>
    <t>3*150+70//E</t>
  </si>
  <si>
    <t>EAXT   000875</t>
  </si>
  <si>
    <t>EAXT   000862</t>
  </si>
  <si>
    <t>EAXT   004045</t>
  </si>
  <si>
    <t>MOBIWAY UNREEL KIT (BUY-BACK OPTION) 100/75 CM FOR DESIGN</t>
  </si>
  <si>
    <t>MO.B. Kits</t>
  </si>
  <si>
    <t>PCS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</si>
</sst>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(* #,##0_);_(* \(#,##0\);_(* &quot;-&quot;_);_(@_)"/>
    <numFmt numFmtId="43" formatCode="_(* #,##0.00_);_(* \(#,##0.00\);_(* &quot;-&quot;??_);_(@_)"/>
    <numFmt numFmtId="164" formatCode="_-* #,##0_-;\-* #,##0_-;_-* &quot;-&quot;_-;_-@_-"/>
    <numFmt numFmtId="165" formatCode="&quot;:&quot;\ #,##0.00"/>
    <numFmt numFmtId="166" formatCode="&quot;:&quot;\ #,##0\ &quot;KG&quot;"/>
    <numFmt numFmtId="167" formatCode="0.0%"/>
    <numFmt numFmtId="168" formatCode="#,##0.000"/>
  </numFmts>
  <fonts count="5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name val="Arial"/>
      <family val="2"/>
    </font>
    <font>
      <sz val="12"/>
      <name val="Arial"/>
      <family val="2"/>
    </font>
    <font>
      <u/>
      <sz val="12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15"/>
      <name val="Times New Roman"/>
      <family val="1"/>
    </font>
    <font>
      <sz val="14"/>
      <name val="Arial"/>
      <family val="2"/>
    </font>
    <font>
      <sz val="11"/>
      <color theme="1"/>
      <name val="Calibri"/>
      <family val="2"/>
      <scheme val="minor"/>
    </font>
    <font>
      <b/>
      <sz val="12"/>
      <name val="Calibri"/>
      <family val="2"/>
    </font>
    <font>
      <b/>
      <sz val="22"/>
      <color rgb="FFFFFFFF"/>
      <name val="Calibri"/>
      <family val="2"/>
    </font>
    <font>
      <sz val="14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u/>
      <sz val="15"/>
      <name val="Arial"/>
      <family val="2"/>
    </font>
    <font>
      <sz val="15"/>
      <name val="Arial"/>
      <family val="2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name val="Calibri"/>
      <family val="2"/>
    </font>
    <font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24"/>
      <color rgb="FFFF0000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7"/>
      <name val="Calibri"/>
      <family val="2"/>
      <scheme val="minor"/>
    </font>
    <font>
      <b/>
      <sz val="14"/>
      <color theme="9"/>
      <name val="Calibri"/>
      <family val="2"/>
      <scheme val="minor"/>
    </font>
    <font>
      <u/>
      <sz val="22"/>
      <color theme="0"/>
      <name val="Arial"/>
      <family val="2"/>
    </font>
    <font>
      <b/>
      <sz val="14"/>
      <color rgb="FF1F497D"/>
      <name val="Calibri"/>
      <family val="2"/>
      <scheme val="minor"/>
    </font>
    <font>
      <b/>
      <sz val="12"/>
      <name val="Calibri"/>
      <family val="2"/>
    </font>
    <font>
      <sz val="14"/>
      <name val="Calibri"/>
      <family val="2"/>
      <scheme val="minor"/>
    </font>
    <font>
      <b/>
      <sz val="12"/>
      <name val="Calibri"/>
      <family val="2"/>
    </font>
    <font>
      <sz val="14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Verdana"/>
      <family val="2"/>
    </font>
    <font>
      <sz val="14"/>
      <name val="Calibri"/>
      <family val="2"/>
      <scheme val="minor"/>
    </font>
    <font>
      <b/>
      <sz val="12"/>
      <color rgb="FF000000"/>
      <name val="Arial"/>
      <family val="2"/>
    </font>
    <font>
      <b/>
      <sz val="12"/>
      <name val="Calibri"/>
      <family val="2"/>
    </font>
    <font>
      <sz val="14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</font>
    <font>
      <sz val="14"/>
      <name val="Calibri"/>
      <scheme val="minor"/>
    </font>
    <font>
      <b/>
      <sz val="12"/>
      <color theme="1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 tint="0.499984740745262"/>
        <bgColor theme="1" tint="0.499984740745262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8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FF0000"/>
      </left>
      <right/>
      <top style="medium">
        <color rgb="FFFF0000"/>
      </top>
      <bottom style="thin">
        <color rgb="FFFF0000"/>
      </bottom>
      <diagonal/>
    </border>
    <border>
      <left/>
      <right style="medium">
        <color rgb="FFFF0000"/>
      </right>
      <top style="medium">
        <color rgb="FFFF0000"/>
      </top>
      <bottom style="thin">
        <color rgb="FFFF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FF0000"/>
      </left>
      <right/>
      <top style="thin">
        <color rgb="FFFF0000"/>
      </top>
      <bottom style="medium">
        <color rgb="FFFF0000"/>
      </bottom>
      <diagonal/>
    </border>
    <border>
      <left/>
      <right style="medium">
        <color rgb="FFFF0000"/>
      </right>
      <top style="thin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rgb="FFFF0000"/>
      </left>
      <right style="medium">
        <color rgb="FFFF0000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rgb="FFFF0000"/>
      </left>
      <right style="medium">
        <color rgb="FFFF0000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rgb="FFFF0000"/>
      </left>
      <right style="medium">
        <color rgb="FFFF0000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FF0000"/>
      </left>
      <right style="medium">
        <color rgb="FFFF0000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rgb="FF808080"/>
      </left>
      <right style="medium">
        <color rgb="FF808080"/>
      </right>
      <top style="medium">
        <color auto="1"/>
      </top>
      <bottom style="medium">
        <color auto="1"/>
      </bottom>
      <diagonal/>
    </border>
    <border>
      <left/>
      <right style="medium">
        <color rgb="FF808080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theme="1" tint="0.499984740745262"/>
      </left>
      <right style="medium">
        <color theme="1" tint="0.499984740745262"/>
      </right>
      <top style="medium">
        <color auto="1"/>
      </top>
      <bottom style="medium">
        <color auto="1"/>
      </bottom>
      <diagonal/>
    </border>
    <border>
      <left style="medium">
        <color theme="1" tint="0.499984740745262"/>
      </left>
      <right/>
      <top style="medium">
        <color auto="1"/>
      </top>
      <bottom style="medium">
        <color auto="1"/>
      </bottom>
      <diagonal/>
    </border>
    <border>
      <left style="thin">
        <color theme="6"/>
      </left>
      <right style="thin">
        <color theme="6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theme="6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theme="6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theme="6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1" tint="0.499984740745262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auto="1"/>
      </left>
      <right style="medium">
        <color rgb="FFFF0000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theme="6"/>
      </right>
      <top/>
      <bottom style="thin">
        <color auto="1"/>
      </bottom>
      <diagonal/>
    </border>
    <border>
      <left/>
      <right style="thin">
        <color theme="6"/>
      </right>
      <top style="thin">
        <color auto="1"/>
      </top>
      <bottom/>
      <diagonal/>
    </border>
  </borders>
  <cellStyleXfs count="14">
    <xf numFmtId="0" fontId="0" fillId="0" borderId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3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341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5" fillId="0" borderId="0" xfId="1" applyFont="1"/>
    <xf numFmtId="0" fontId="4" fillId="0" borderId="0" xfId="1" applyFont="1" applyAlignment="1">
      <alignment horizontal="center"/>
    </xf>
    <xf numFmtId="0" fontId="6" fillId="0" borderId="0" xfId="1" applyFont="1" applyAlignment="1">
      <alignment horizontal="right"/>
    </xf>
    <xf numFmtId="0" fontId="6" fillId="0" borderId="0" xfId="1" applyFont="1" applyAlignment="1">
      <alignment horizontal="left"/>
    </xf>
    <xf numFmtId="0" fontId="6" fillId="0" borderId="0" xfId="1" applyFont="1" applyAlignment="1">
      <alignment horizontal="center"/>
    </xf>
    <xf numFmtId="0" fontId="4" fillId="0" borderId="0" xfId="1" applyFont="1" applyAlignment="1">
      <alignment horizontal="right"/>
    </xf>
    <xf numFmtId="0" fontId="9" fillId="0" borderId="0" xfId="1" applyFont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12" fillId="0" borderId="24" xfId="1" applyFont="1" applyBorder="1" applyAlignment="1">
      <alignment horizontal="center" vertical="center"/>
    </xf>
    <xf numFmtId="0" fontId="13" fillId="0" borderId="25" xfId="1" applyFont="1" applyBorder="1" applyAlignment="1">
      <alignment horizontal="center" vertical="center"/>
    </xf>
    <xf numFmtId="0" fontId="13" fillId="0" borderId="9" xfId="1" applyFont="1" applyBorder="1" applyAlignment="1">
      <alignment horizontal="center" vertical="center"/>
    </xf>
    <xf numFmtId="0" fontId="12" fillId="0" borderId="22" xfId="1" applyFont="1" applyBorder="1" applyAlignment="1">
      <alignment horizontal="left" vertical="center"/>
    </xf>
    <xf numFmtId="0" fontId="12" fillId="0" borderId="23" xfId="1" applyFont="1" applyBorder="1" applyAlignment="1">
      <alignment horizontal="left" vertical="center"/>
    </xf>
    <xf numFmtId="0" fontId="18" fillId="0" borderId="26" xfId="0" applyFont="1" applyBorder="1" applyAlignment="1">
      <alignment horizontal="center"/>
    </xf>
    <xf numFmtId="0" fontId="18" fillId="0" borderId="27" xfId="0" applyFont="1" applyBorder="1" applyAlignment="1">
      <alignment horizontal="center"/>
    </xf>
    <xf numFmtId="0" fontId="18" fillId="0" borderId="28" xfId="1" applyFont="1" applyBorder="1" applyAlignment="1">
      <alignment horizontal="center"/>
    </xf>
    <xf numFmtId="0" fontId="18" fillId="0" borderId="31" xfId="0" applyFont="1" applyBorder="1" applyAlignment="1">
      <alignment horizontal="center"/>
    </xf>
    <xf numFmtId="0" fontId="18" fillId="0" borderId="32" xfId="0" applyFont="1" applyBorder="1" applyAlignment="1">
      <alignment horizontal="center"/>
    </xf>
    <xf numFmtId="0" fontId="18" fillId="0" borderId="1" xfId="1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33" xfId="1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0" borderId="35" xfId="0" applyFont="1" applyBorder="1" applyAlignment="1">
      <alignment horizontal="center"/>
    </xf>
    <xf numFmtId="0" fontId="18" fillId="0" borderId="18" xfId="1" applyFont="1" applyBorder="1" applyAlignment="1">
      <alignment horizontal="center"/>
    </xf>
    <xf numFmtId="0" fontId="18" fillId="0" borderId="38" xfId="0" applyFont="1" applyBorder="1" applyAlignment="1">
      <alignment horizontal="center"/>
    </xf>
    <xf numFmtId="0" fontId="18" fillId="0" borderId="39" xfId="0" applyFont="1" applyBorder="1" applyAlignment="1">
      <alignment horizontal="center"/>
    </xf>
    <xf numFmtId="0" fontId="18" fillId="0" borderId="40" xfId="1" applyFont="1" applyBorder="1" applyAlignment="1">
      <alignment horizontal="center"/>
    </xf>
    <xf numFmtId="0" fontId="18" fillId="0" borderId="1" xfId="0" applyFont="1" applyBorder="1"/>
    <xf numFmtId="0" fontId="18" fillId="0" borderId="43" xfId="0" applyFont="1" applyBorder="1" applyAlignment="1">
      <alignment horizontal="center"/>
    </xf>
    <xf numFmtId="0" fontId="18" fillId="0" borderId="36" xfId="1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44" xfId="1" applyFont="1" applyBorder="1" applyAlignment="1">
      <alignment horizontal="center"/>
    </xf>
    <xf numFmtId="0" fontId="18" fillId="0" borderId="14" xfId="1" applyFont="1" applyBorder="1" applyAlignment="1">
      <alignment horizontal="center"/>
    </xf>
    <xf numFmtId="0" fontId="18" fillId="5" borderId="52" xfId="0" applyFont="1" applyFill="1" applyBorder="1" applyAlignment="1">
      <alignment horizontal="center"/>
    </xf>
    <xf numFmtId="0" fontId="18" fillId="5" borderId="51" xfId="1" applyFont="1" applyFill="1" applyBorder="1" applyAlignment="1">
      <alignment horizontal="center"/>
    </xf>
    <xf numFmtId="0" fontId="19" fillId="5" borderId="51" xfId="1" applyFont="1" applyFill="1" applyBorder="1" applyAlignment="1">
      <alignment horizontal="center"/>
    </xf>
    <xf numFmtId="0" fontId="18" fillId="0" borderId="48" xfId="0" applyFont="1" applyBorder="1" applyAlignment="1">
      <alignment horizontal="center"/>
    </xf>
    <xf numFmtId="0" fontId="18" fillId="0" borderId="29" xfId="1" applyFont="1" applyBorder="1" applyAlignment="1">
      <alignment horizontal="center"/>
    </xf>
    <xf numFmtId="0" fontId="18" fillId="0" borderId="53" xfId="0" applyFont="1" applyBorder="1" applyAlignment="1">
      <alignment horizontal="center"/>
    </xf>
    <xf numFmtId="0" fontId="18" fillId="0" borderId="41" xfId="1" applyFont="1" applyBorder="1" applyAlignment="1">
      <alignment horizontal="center"/>
    </xf>
    <xf numFmtId="0" fontId="20" fillId="6" borderId="28" xfId="1" applyFont="1" applyFill="1" applyBorder="1" applyAlignment="1">
      <alignment horizontal="center"/>
    </xf>
    <xf numFmtId="0" fontId="20" fillId="0" borderId="29" xfId="1" quotePrefix="1" applyFont="1" applyBorder="1" applyAlignment="1">
      <alignment horizontal="center"/>
    </xf>
    <xf numFmtId="0" fontId="20" fillId="6" borderId="1" xfId="1" applyFont="1" applyFill="1" applyBorder="1" applyAlignment="1">
      <alignment horizontal="center"/>
    </xf>
    <xf numFmtId="0" fontId="20" fillId="0" borderId="33" xfId="1" quotePrefix="1" applyFont="1" applyBorder="1" applyAlignment="1">
      <alignment horizontal="center"/>
    </xf>
    <xf numFmtId="0" fontId="20" fillId="6" borderId="18" xfId="1" applyFont="1" applyFill="1" applyBorder="1" applyAlignment="1">
      <alignment horizontal="center"/>
    </xf>
    <xf numFmtId="0" fontId="20" fillId="0" borderId="36" xfId="1" quotePrefix="1" applyFont="1" applyBorder="1" applyAlignment="1">
      <alignment horizontal="center"/>
    </xf>
    <xf numFmtId="0" fontId="20" fillId="6" borderId="40" xfId="1" applyFont="1" applyFill="1" applyBorder="1" applyAlignment="1">
      <alignment horizontal="center"/>
    </xf>
    <xf numFmtId="0" fontId="20" fillId="0" borderId="41" xfId="1" quotePrefix="1" applyFont="1" applyBorder="1" applyAlignment="1">
      <alignment horizontal="center"/>
    </xf>
    <xf numFmtId="0" fontId="13" fillId="0" borderId="8" xfId="1" applyFont="1" applyBorder="1" applyAlignment="1">
      <alignment horizontal="center" vertical="center"/>
    </xf>
    <xf numFmtId="0" fontId="23" fillId="0" borderId="0" xfId="1" applyFont="1"/>
    <xf numFmtId="14" fontId="24" fillId="0" borderId="2" xfId="1" applyNumberFormat="1" applyFont="1" applyBorder="1"/>
    <xf numFmtId="0" fontId="18" fillId="8" borderId="56" xfId="0" applyFont="1" applyFill="1" applyBorder="1" applyAlignment="1">
      <alignment horizontal="center"/>
    </xf>
    <xf numFmtId="0" fontId="18" fillId="0" borderId="56" xfId="0" applyFont="1" applyBorder="1" applyAlignment="1">
      <alignment horizontal="center"/>
    </xf>
    <xf numFmtId="0" fontId="8" fillId="0" borderId="0" xfId="3" applyFont="1" applyAlignment="1">
      <alignment horizontal="center"/>
    </xf>
    <xf numFmtId="0" fontId="26" fillId="9" borderId="0" xfId="3" applyFont="1" applyFill="1" applyAlignment="1">
      <alignment horizontal="right"/>
    </xf>
    <xf numFmtId="49" fontId="26" fillId="9" borderId="0" xfId="3" applyNumberFormat="1" applyFont="1" applyFill="1" applyAlignment="1">
      <alignment horizontal="center"/>
    </xf>
    <xf numFmtId="0" fontId="26" fillId="9" borderId="0" xfId="3" applyFont="1" applyFill="1" applyAlignment="1">
      <alignment horizontal="left"/>
    </xf>
    <xf numFmtId="0" fontId="8" fillId="0" borderId="0" xfId="3" applyFont="1" applyAlignment="1">
      <alignment horizontal="left"/>
    </xf>
    <xf numFmtId="0" fontId="8" fillId="0" borderId="0" xfId="3" applyFont="1"/>
    <xf numFmtId="0" fontId="8" fillId="0" borderId="26" xfId="3" applyFont="1" applyBorder="1" applyAlignment="1">
      <alignment horizontal="center"/>
    </xf>
    <xf numFmtId="0" fontId="8" fillId="0" borderId="31" xfId="3" applyFont="1" applyBorder="1" applyAlignment="1">
      <alignment horizontal="center"/>
    </xf>
    <xf numFmtId="0" fontId="8" fillId="0" borderId="17" xfId="3" applyFont="1" applyBorder="1" applyAlignment="1">
      <alignment horizontal="center"/>
    </xf>
    <xf numFmtId="0" fontId="21" fillId="0" borderId="31" xfId="0" applyFont="1" applyBorder="1" applyProtection="1">
      <protection hidden="1"/>
    </xf>
    <xf numFmtId="0" fontId="21" fillId="3" borderId="31" xfId="0" applyFont="1" applyFill="1" applyBorder="1" applyProtection="1">
      <protection hidden="1"/>
    </xf>
    <xf numFmtId="0" fontId="21" fillId="0" borderId="17" xfId="0" applyFont="1" applyBorder="1" applyProtection="1">
      <protection hidden="1"/>
    </xf>
    <xf numFmtId="0" fontId="22" fillId="0" borderId="0" xfId="3" applyFont="1" applyAlignment="1">
      <alignment horizontal="center"/>
    </xf>
    <xf numFmtId="4" fontId="22" fillId="0" borderId="0" xfId="3" applyNumberFormat="1" applyFont="1" applyAlignment="1">
      <alignment horizontal="center"/>
    </xf>
    <xf numFmtId="3" fontId="22" fillId="0" borderId="0" xfId="3" applyNumberFormat="1" applyFont="1" applyAlignment="1">
      <alignment horizontal="center"/>
    </xf>
    <xf numFmtId="0" fontId="27" fillId="9" borderId="0" xfId="3" applyFont="1" applyFill="1"/>
    <xf numFmtId="0" fontId="28" fillId="9" borderId="0" xfId="3" applyFont="1" applyFill="1"/>
    <xf numFmtId="4" fontId="8" fillId="0" borderId="0" xfId="3" applyNumberFormat="1" applyFont="1" applyAlignment="1">
      <alignment horizontal="center"/>
    </xf>
    <xf numFmtId="0" fontId="30" fillId="10" borderId="0" xfId="3" applyFont="1" applyFill="1" applyAlignment="1">
      <alignment horizontal="center"/>
    </xf>
    <xf numFmtId="0" fontId="30" fillId="11" borderId="0" xfId="3" applyFont="1" applyFill="1" applyAlignment="1">
      <alignment horizontal="center"/>
    </xf>
    <xf numFmtId="0" fontId="30" fillId="12" borderId="0" xfId="3" applyFont="1" applyFill="1" applyAlignment="1">
      <alignment horizontal="center"/>
    </xf>
    <xf numFmtId="0" fontId="30" fillId="13" borderId="0" xfId="3" applyFont="1" applyFill="1" applyAlignment="1">
      <alignment horizontal="center"/>
    </xf>
    <xf numFmtId="0" fontId="30" fillId="14" borderId="0" xfId="3" applyFont="1" applyFill="1" applyAlignment="1">
      <alignment horizontal="center"/>
    </xf>
    <xf numFmtId="0" fontId="22" fillId="0" borderId="14" xfId="4" applyFont="1" applyBorder="1" applyAlignment="1">
      <alignment horizontal="left" vertical="center"/>
    </xf>
    <xf numFmtId="4" fontId="22" fillId="0" borderId="14" xfId="4" applyNumberFormat="1" applyFont="1" applyBorder="1" applyAlignment="1">
      <alignment horizontal="center" vertical="center"/>
    </xf>
    <xf numFmtId="0" fontId="5" fillId="0" borderId="0" xfId="1" applyFont="1" applyAlignment="1">
      <alignment horizontal="center"/>
    </xf>
    <xf numFmtId="0" fontId="10" fillId="0" borderId="9" xfId="1" applyFont="1" applyBorder="1" applyAlignment="1">
      <alignment horizontal="center" vertical="center"/>
    </xf>
    <xf numFmtId="0" fontId="8" fillId="0" borderId="63" xfId="3" applyFont="1" applyBorder="1" applyAlignment="1">
      <alignment horizontal="center"/>
    </xf>
    <xf numFmtId="0" fontId="8" fillId="0" borderId="38" xfId="3" applyFont="1" applyBorder="1" applyAlignment="1">
      <alignment horizontal="center"/>
    </xf>
    <xf numFmtId="0" fontId="8" fillId="0" borderId="60" xfId="3" applyFont="1" applyBorder="1" applyAlignment="1">
      <alignment horizontal="center"/>
    </xf>
    <xf numFmtId="0" fontId="8" fillId="0" borderId="18" xfId="3" applyFont="1" applyBorder="1" applyAlignment="1">
      <alignment horizontal="center"/>
    </xf>
    <xf numFmtId="0" fontId="22" fillId="0" borderId="62" xfId="3" applyFont="1" applyBorder="1" applyAlignment="1">
      <alignment horizontal="center"/>
    </xf>
    <xf numFmtId="0" fontId="30" fillId="15" borderId="13" xfId="4" applyFont="1" applyFill="1" applyBorder="1" applyAlignment="1">
      <alignment horizontal="left" vertical="center"/>
    </xf>
    <xf numFmtId="0" fontId="30" fillId="12" borderId="13" xfId="4" applyFont="1" applyFill="1" applyBorder="1" applyAlignment="1">
      <alignment horizontal="left" vertical="center"/>
    </xf>
    <xf numFmtId="0" fontId="30" fillId="14" borderId="13" xfId="4" applyFont="1" applyFill="1" applyBorder="1" applyAlignment="1">
      <alignment horizontal="left" vertical="center"/>
    </xf>
    <xf numFmtId="4" fontId="0" fillId="0" borderId="0" xfId="0" applyNumberFormat="1"/>
    <xf numFmtId="0" fontId="21" fillId="0" borderId="61" xfId="0" applyFont="1" applyBorder="1" applyProtection="1">
      <protection hidden="1"/>
    </xf>
    <xf numFmtId="0" fontId="22" fillId="0" borderId="60" xfId="4" applyFont="1" applyBorder="1" applyAlignment="1">
      <alignment horizontal="left" vertical="center"/>
    </xf>
    <xf numFmtId="0" fontId="8" fillId="0" borderId="67" xfId="3" applyFont="1" applyBorder="1" applyAlignment="1">
      <alignment horizontal="center"/>
    </xf>
    <xf numFmtId="4" fontId="22" fillId="0" borderId="60" xfId="4" applyNumberFormat="1" applyFont="1" applyBorder="1" applyAlignment="1">
      <alignment horizontal="center" vertical="center"/>
    </xf>
    <xf numFmtId="0" fontId="18" fillId="0" borderId="66" xfId="0" applyFont="1" applyBorder="1" applyAlignment="1">
      <alignment horizontal="center"/>
    </xf>
    <xf numFmtId="0" fontId="18" fillId="8" borderId="66" xfId="0" applyFont="1" applyFill="1" applyBorder="1" applyAlignment="1">
      <alignment horizontal="center"/>
    </xf>
    <xf numFmtId="0" fontId="18" fillId="8" borderId="69" xfId="0" applyFont="1" applyFill="1" applyBorder="1" applyAlignment="1">
      <alignment horizontal="center"/>
    </xf>
    <xf numFmtId="0" fontId="22" fillId="0" borderId="23" xfId="4" applyFont="1" applyBorder="1" applyAlignment="1">
      <alignment horizontal="left" vertical="center"/>
    </xf>
    <xf numFmtId="0" fontId="8" fillId="0" borderId="59" xfId="3" applyFont="1" applyBorder="1" applyAlignment="1">
      <alignment horizontal="center"/>
    </xf>
    <xf numFmtId="4" fontId="22" fillId="0" borderId="23" xfId="4" applyNumberFormat="1" applyFont="1" applyBorder="1" applyAlignment="1">
      <alignment horizontal="center" vertical="center"/>
    </xf>
    <xf numFmtId="0" fontId="18" fillId="0" borderId="68" xfId="0" applyFont="1" applyBorder="1" applyAlignment="1">
      <alignment horizontal="center"/>
    </xf>
    <xf numFmtId="0" fontId="30" fillId="14" borderId="61" xfId="4" applyFont="1" applyFill="1" applyBorder="1" applyAlignment="1">
      <alignment horizontal="left" vertical="center"/>
    </xf>
    <xf numFmtId="0" fontId="30" fillId="14" borderId="22" xfId="4" applyFont="1" applyFill="1" applyBorder="1" applyAlignment="1">
      <alignment horizontal="left" vertical="center"/>
    </xf>
    <xf numFmtId="0" fontId="20" fillId="6" borderId="1" xfId="0" applyFont="1" applyFill="1" applyBorder="1"/>
    <xf numFmtId="0" fontId="20" fillId="0" borderId="33" xfId="1" applyFont="1" applyBorder="1" applyAlignment="1">
      <alignment horizontal="center"/>
    </xf>
    <xf numFmtId="0" fontId="20" fillId="0" borderId="36" xfId="1" applyFont="1" applyBorder="1" applyAlignment="1">
      <alignment horizontal="center"/>
    </xf>
    <xf numFmtId="0" fontId="20" fillId="0" borderId="44" xfId="1" applyFont="1" applyBorder="1" applyAlignment="1">
      <alignment horizontal="center"/>
    </xf>
    <xf numFmtId="0" fontId="20" fillId="7" borderId="55" xfId="1" applyFont="1" applyFill="1" applyBorder="1" applyAlignment="1">
      <alignment horizontal="center"/>
    </xf>
    <xf numFmtId="0" fontId="20" fillId="0" borderId="29" xfId="1" applyFont="1" applyBorder="1" applyAlignment="1">
      <alignment horizontal="center"/>
    </xf>
    <xf numFmtId="0" fontId="20" fillId="0" borderId="41" xfId="1" applyFont="1" applyBorder="1" applyAlignment="1">
      <alignment horizontal="center"/>
    </xf>
    <xf numFmtId="4" fontId="20" fillId="0" borderId="1" xfId="3" applyNumberFormat="1" applyFont="1" applyBorder="1" applyAlignment="1">
      <alignment horizontal="center"/>
    </xf>
    <xf numFmtId="4" fontId="20" fillId="0" borderId="18" xfId="3" applyNumberFormat="1" applyFont="1" applyBorder="1" applyAlignment="1">
      <alignment horizontal="center"/>
    </xf>
    <xf numFmtId="4" fontId="20" fillId="0" borderId="60" xfId="3" applyNumberFormat="1" applyFont="1" applyBorder="1" applyAlignment="1">
      <alignment horizontal="center"/>
    </xf>
    <xf numFmtId="4" fontId="20" fillId="0" borderId="30" xfId="2" applyNumberFormat="1" applyFont="1" applyFill="1" applyBorder="1" applyAlignment="1" applyProtection="1">
      <alignment horizontal="center"/>
    </xf>
    <xf numFmtId="4" fontId="20" fillId="0" borderId="27" xfId="1" applyNumberFormat="1" applyFont="1" applyBorder="1" applyAlignment="1">
      <alignment horizontal="center"/>
    </xf>
    <xf numFmtId="4" fontId="20" fillId="0" borderId="34" xfId="2" applyNumberFormat="1" applyFont="1" applyFill="1" applyBorder="1" applyAlignment="1" applyProtection="1">
      <alignment horizontal="center"/>
    </xf>
    <xf numFmtId="4" fontId="20" fillId="0" borderId="1" xfId="1" applyNumberFormat="1" applyFont="1" applyBorder="1" applyAlignment="1">
      <alignment horizontal="center"/>
    </xf>
    <xf numFmtId="4" fontId="20" fillId="0" borderId="32" xfId="1" applyNumberFormat="1" applyFont="1" applyBorder="1" applyAlignment="1">
      <alignment horizontal="center"/>
    </xf>
    <xf numFmtId="4" fontId="20" fillId="0" borderId="37" xfId="2" applyNumberFormat="1" applyFont="1" applyFill="1" applyBorder="1" applyAlignment="1" applyProtection="1">
      <alignment horizontal="center"/>
    </xf>
    <xf numFmtId="4" fontId="20" fillId="0" borderId="35" xfId="1" applyNumberFormat="1" applyFont="1" applyBorder="1" applyAlignment="1">
      <alignment horizontal="center"/>
    </xf>
    <xf numFmtId="4" fontId="20" fillId="0" borderId="3" xfId="1" applyNumberFormat="1" applyFont="1" applyBorder="1" applyAlignment="1">
      <alignment horizontal="center"/>
    </xf>
    <xf numFmtId="4" fontId="20" fillId="0" borderId="42" xfId="2" applyNumberFormat="1" applyFont="1" applyFill="1" applyBorder="1" applyAlignment="1" applyProtection="1">
      <alignment horizontal="center"/>
    </xf>
    <xf numFmtId="4" fontId="20" fillId="0" borderId="39" xfId="1" applyNumberFormat="1" applyFont="1" applyBorder="1" applyAlignment="1">
      <alignment horizontal="center"/>
    </xf>
    <xf numFmtId="4" fontId="20" fillId="0" borderId="58" xfId="1" applyNumberFormat="1" applyFont="1" applyBorder="1" applyAlignment="1">
      <alignment horizontal="center"/>
    </xf>
    <xf numFmtId="4" fontId="20" fillId="0" borderId="45" xfId="2" applyNumberFormat="1" applyFont="1" applyFill="1" applyBorder="1" applyAlignment="1" applyProtection="1">
      <alignment horizontal="center"/>
    </xf>
    <xf numFmtId="4" fontId="20" fillId="0" borderId="46" xfId="1" applyNumberFormat="1" applyFont="1" applyBorder="1" applyAlignment="1">
      <alignment horizontal="center"/>
    </xf>
    <xf numFmtId="4" fontId="20" fillId="0" borderId="2" xfId="1" applyNumberFormat="1" applyFont="1" applyBorder="1" applyAlignment="1">
      <alignment horizontal="center"/>
    </xf>
    <xf numFmtId="4" fontId="20" fillId="5" borderId="47" xfId="2" applyNumberFormat="1" applyFont="1" applyFill="1" applyBorder="1" applyAlignment="1" applyProtection="1">
      <alignment horizontal="center"/>
    </xf>
    <xf numFmtId="4" fontId="20" fillId="5" borderId="52" xfId="1" applyNumberFormat="1" applyFont="1" applyFill="1" applyBorder="1" applyAlignment="1">
      <alignment horizontal="center"/>
    </xf>
    <xf numFmtId="4" fontId="20" fillId="5" borderId="8" xfId="1" applyNumberFormat="1" applyFont="1" applyFill="1" applyBorder="1" applyAlignment="1">
      <alignment horizontal="center"/>
    </xf>
    <xf numFmtId="4" fontId="20" fillId="0" borderId="18" xfId="1" applyNumberFormat="1" applyFont="1" applyBorder="1" applyAlignment="1">
      <alignment horizontal="center"/>
    </xf>
    <xf numFmtId="4" fontId="20" fillId="0" borderId="48" xfId="1" applyNumberFormat="1" applyFont="1" applyBorder="1" applyAlignment="1">
      <alignment horizontal="center"/>
    </xf>
    <xf numFmtId="4" fontId="20" fillId="0" borderId="43" xfId="1" applyNumberFormat="1" applyFont="1" applyBorder="1" applyAlignment="1">
      <alignment horizontal="center"/>
    </xf>
    <xf numFmtId="0" fontId="13" fillId="0" borderId="71" xfId="1" applyFont="1" applyBorder="1" applyAlignment="1">
      <alignment horizontal="center" vertical="center"/>
    </xf>
    <xf numFmtId="4" fontId="20" fillId="5" borderId="71" xfId="1" applyNumberFormat="1" applyFont="1" applyFill="1" applyBorder="1" applyAlignment="1">
      <alignment horizontal="center"/>
    </xf>
    <xf numFmtId="4" fontId="20" fillId="0" borderId="65" xfId="1" applyNumberFormat="1" applyFont="1" applyBorder="1" applyAlignment="1">
      <alignment horizontal="center"/>
    </xf>
    <xf numFmtId="4" fontId="20" fillId="0" borderId="72" xfId="1" applyNumberFormat="1" applyFont="1" applyBorder="1" applyAlignment="1">
      <alignment horizontal="center"/>
    </xf>
    <xf numFmtId="166" fontId="11" fillId="14" borderId="6" xfId="1" applyNumberFormat="1" applyFont="1" applyFill="1" applyBorder="1" applyAlignment="1">
      <alignment horizontal="center" vertical="center"/>
    </xf>
    <xf numFmtId="0" fontId="35" fillId="0" borderId="4" xfId="1" applyFont="1" applyBorder="1" applyAlignment="1">
      <alignment vertical="center"/>
    </xf>
    <xf numFmtId="165" fontId="9" fillId="0" borderId="5" xfId="1" applyNumberFormat="1" applyFont="1" applyBorder="1" applyAlignment="1">
      <alignment horizontal="left" vertical="center"/>
    </xf>
    <xf numFmtId="0" fontId="35" fillId="0" borderId="10" xfId="1" applyFont="1" applyBorder="1" applyAlignment="1">
      <alignment vertical="center"/>
    </xf>
    <xf numFmtId="165" fontId="9" fillId="0" borderId="11" xfId="1" applyNumberFormat="1" applyFont="1" applyBorder="1" applyAlignment="1">
      <alignment horizontal="left" vertical="center"/>
    </xf>
    <xf numFmtId="0" fontId="9" fillId="0" borderId="0" xfId="1" applyFont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32" fillId="4" borderId="18" xfId="1" applyFont="1" applyFill="1" applyBorder="1" applyAlignment="1">
      <alignment horizontal="center" vertical="center"/>
    </xf>
    <xf numFmtId="0" fontId="9" fillId="0" borderId="18" xfId="1" applyFont="1" applyBorder="1" applyAlignment="1">
      <alignment horizontal="center" vertical="center"/>
    </xf>
    <xf numFmtId="0" fontId="9" fillId="0" borderId="19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32" fillId="4" borderId="14" xfId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32" fillId="7" borderId="14" xfId="1" applyFont="1" applyFill="1" applyBorder="1" applyAlignment="1">
      <alignment horizontal="center" vertical="center"/>
    </xf>
    <xf numFmtId="0" fontId="32" fillId="7" borderId="18" xfId="1" applyFont="1" applyFill="1" applyBorder="1" applyAlignment="1">
      <alignment horizontal="center" vertical="center"/>
    </xf>
    <xf numFmtId="0" fontId="36" fillId="16" borderId="14" xfId="1" applyFont="1" applyFill="1" applyBorder="1" applyAlignment="1">
      <alignment horizontal="center" vertical="center"/>
    </xf>
    <xf numFmtId="0" fontId="36" fillId="16" borderId="18" xfId="1" applyFont="1" applyFill="1" applyBorder="1" applyAlignment="1">
      <alignment horizontal="center" vertical="center"/>
    </xf>
    <xf numFmtId="0" fontId="32" fillId="15" borderId="14" xfId="1" applyFont="1" applyFill="1" applyBorder="1" applyAlignment="1">
      <alignment horizontal="center" vertical="center"/>
    </xf>
    <xf numFmtId="0" fontId="32" fillId="15" borderId="18" xfId="1" applyFont="1" applyFill="1" applyBorder="1" applyAlignment="1">
      <alignment horizontal="center" vertical="center"/>
    </xf>
    <xf numFmtId="0" fontId="9" fillId="11" borderId="14" xfId="1" applyFont="1" applyFill="1" applyBorder="1" applyAlignment="1">
      <alignment horizontal="center" vertical="center"/>
    </xf>
    <xf numFmtId="0" fontId="9" fillId="11" borderId="18" xfId="1" applyFont="1" applyFill="1" applyBorder="1" applyAlignment="1">
      <alignment horizontal="center" vertical="center"/>
    </xf>
    <xf numFmtId="0" fontId="37" fillId="11" borderId="14" xfId="1" applyFont="1" applyFill="1" applyBorder="1" applyAlignment="1">
      <alignment horizontal="center" vertical="center"/>
    </xf>
    <xf numFmtId="0" fontId="38" fillId="16" borderId="18" xfId="1" applyFont="1" applyFill="1" applyBorder="1" applyAlignment="1">
      <alignment horizontal="center" vertical="center"/>
    </xf>
    <xf numFmtId="0" fontId="11" fillId="14" borderId="14" xfId="1" applyFont="1" applyFill="1" applyBorder="1" applyAlignment="1">
      <alignment horizontal="center" vertical="center"/>
    </xf>
    <xf numFmtId="0" fontId="36" fillId="15" borderId="18" xfId="1" applyFont="1" applyFill="1" applyBorder="1" applyAlignment="1">
      <alignment horizontal="center" vertical="center"/>
    </xf>
    <xf numFmtId="0" fontId="32" fillId="18" borderId="14" xfId="1" applyFont="1" applyFill="1" applyBorder="1" applyAlignment="1">
      <alignment horizontal="center" vertical="center"/>
    </xf>
    <xf numFmtId="0" fontId="32" fillId="18" borderId="18" xfId="1" applyFont="1" applyFill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20" fillId="0" borderId="0" xfId="1" applyFont="1" applyAlignment="1">
      <alignment horizontal="left"/>
    </xf>
    <xf numFmtId="0" fontId="31" fillId="19" borderId="73" xfId="0" applyFont="1" applyFill="1" applyBorder="1"/>
    <xf numFmtId="0" fontId="31" fillId="20" borderId="74" xfId="0" applyFont="1" applyFill="1" applyBorder="1"/>
    <xf numFmtId="0" fontId="0" fillId="21" borderId="74" xfId="0" applyFill="1" applyBorder="1"/>
    <xf numFmtId="0" fontId="31" fillId="20" borderId="75" xfId="0" applyFont="1" applyFill="1" applyBorder="1"/>
    <xf numFmtId="0" fontId="0" fillId="21" borderId="75" xfId="0" applyFill="1" applyBorder="1"/>
    <xf numFmtId="0" fontId="20" fillId="0" borderId="2" xfId="1" applyFont="1" applyBorder="1" applyAlignment="1">
      <alignment horizontal="right"/>
    </xf>
    <xf numFmtId="0" fontId="3" fillId="0" borderId="0" xfId="0" applyFont="1"/>
    <xf numFmtId="0" fontId="4" fillId="0" borderId="0" xfId="1" applyFont="1"/>
    <xf numFmtId="0" fontId="3" fillId="0" borderId="0" xfId="0" applyFont="1" applyAlignment="1">
      <alignment horizontal="center" vertical="center"/>
    </xf>
    <xf numFmtId="0" fontId="20" fillId="0" borderId="0" xfId="0" applyFont="1"/>
    <xf numFmtId="0" fontId="6" fillId="0" borderId="2" xfId="1" applyFont="1" applyBorder="1" applyAlignment="1">
      <alignment horizontal="left"/>
    </xf>
    <xf numFmtId="14" fontId="6" fillId="0" borderId="2" xfId="1" applyNumberFormat="1" applyFont="1" applyBorder="1" applyAlignment="1">
      <alignment horizontal="left"/>
    </xf>
    <xf numFmtId="0" fontId="40" fillId="0" borderId="53" xfId="0" applyFont="1" applyBorder="1" applyAlignment="1">
      <alignment vertical="center"/>
    </xf>
    <xf numFmtId="0" fontId="7" fillId="0" borderId="3" xfId="1" applyFont="1" applyBorder="1" applyAlignment="1">
      <alignment horizontal="left"/>
    </xf>
    <xf numFmtId="0" fontId="24" fillId="0" borderId="0" xfId="0" applyFont="1"/>
    <xf numFmtId="0" fontId="34" fillId="17" borderId="6" xfId="1" applyFont="1" applyFill="1" applyBorder="1" applyAlignment="1">
      <alignment horizontal="left" vertical="center"/>
    </xf>
    <xf numFmtId="0" fontId="8" fillId="0" borderId="6" xfId="1" applyFont="1" applyBorder="1" applyAlignment="1">
      <alignment horizontal="center" vertical="center"/>
    </xf>
    <xf numFmtId="0" fontId="6" fillId="0" borderId="0" xfId="1" applyFont="1"/>
    <xf numFmtId="0" fontId="6" fillId="0" borderId="0" xfId="0" applyFont="1"/>
    <xf numFmtId="0" fontId="24" fillId="0" borderId="0" xfId="1" applyFont="1"/>
    <xf numFmtId="0" fontId="11" fillId="14" borderId="6" xfId="0" applyFont="1" applyFill="1" applyBorder="1" applyAlignment="1">
      <alignment horizontal="center" vertical="center"/>
    </xf>
    <xf numFmtId="0" fontId="14" fillId="0" borderId="0" xfId="0" applyFont="1"/>
    <xf numFmtId="0" fontId="20" fillId="0" borderId="28" xfId="1" applyFont="1" applyBorder="1" applyAlignment="1">
      <alignment horizontal="center"/>
    </xf>
    <xf numFmtId="4" fontId="20" fillId="0" borderId="28" xfId="3" applyNumberFormat="1" applyFont="1" applyBorder="1" applyAlignment="1">
      <alignment horizontal="center"/>
    </xf>
    <xf numFmtId="0" fontId="15" fillId="0" borderId="0" xfId="0" applyFont="1"/>
    <xf numFmtId="0" fontId="20" fillId="0" borderId="1" xfId="1" applyFont="1" applyBorder="1" applyAlignment="1">
      <alignment horizontal="center"/>
    </xf>
    <xf numFmtId="0" fontId="20" fillId="0" borderId="1" xfId="1" applyFont="1" applyBorder="1" applyAlignment="1">
      <alignment horizontal="center" vertical="center"/>
    </xf>
    <xf numFmtId="0" fontId="20" fillId="0" borderId="18" xfId="1" applyFont="1" applyBorder="1" applyAlignment="1">
      <alignment horizontal="center"/>
    </xf>
    <xf numFmtId="0" fontId="16" fillId="0" borderId="0" xfId="0" applyFont="1"/>
    <xf numFmtId="0" fontId="20" fillId="0" borderId="40" xfId="1" applyFont="1" applyBorder="1" applyAlignment="1">
      <alignment horizontal="center"/>
    </xf>
    <xf numFmtId="0" fontId="20" fillId="0" borderId="1" xfId="0" applyFont="1" applyBorder="1"/>
    <xf numFmtId="0" fontId="20" fillId="0" borderId="14" xfId="1" applyFont="1" applyBorder="1" applyAlignment="1">
      <alignment horizontal="center"/>
    </xf>
    <xf numFmtId="0" fontId="20" fillId="7" borderId="54" xfId="1" applyFont="1" applyFill="1" applyBorder="1" applyAlignment="1">
      <alignment horizontal="center"/>
    </xf>
    <xf numFmtId="0" fontId="32" fillId="7" borderId="54" xfId="1" applyFont="1" applyFill="1" applyBorder="1" applyAlignment="1">
      <alignment horizontal="center"/>
    </xf>
    <xf numFmtId="4" fontId="20" fillId="0" borderId="14" xfId="3" applyNumberFormat="1" applyFont="1" applyBorder="1" applyAlignment="1">
      <alignment horizontal="center"/>
    </xf>
    <xf numFmtId="4" fontId="20" fillId="0" borderId="32" xfId="3" applyNumberFormat="1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29" fillId="0" borderId="49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2" fillId="0" borderId="22" xfId="1" applyFont="1" applyBorder="1" applyAlignment="1">
      <alignment horizontal="center" vertical="center"/>
    </xf>
    <xf numFmtId="0" fontId="12" fillId="0" borderId="23" xfId="1" applyFont="1" applyBorder="1" applyAlignment="1">
      <alignment horizontal="center" vertical="center"/>
    </xf>
    <xf numFmtId="3" fontId="3" fillId="0" borderId="0" xfId="7" applyNumberFormat="1" applyAlignment="1">
      <alignment horizontal="center"/>
    </xf>
    <xf numFmtId="0" fontId="20" fillId="0" borderId="76" xfId="1" quotePrefix="1" applyFont="1" applyBorder="1" applyAlignment="1">
      <alignment horizontal="center"/>
    </xf>
    <xf numFmtId="0" fontId="41" fillId="0" borderId="3" xfId="0" applyFont="1" applyBorder="1" applyAlignment="1">
      <alignment horizontal="center"/>
    </xf>
    <xf numFmtId="0" fontId="41" fillId="0" borderId="33" xfId="1" applyFont="1" applyBorder="1" applyAlignment="1">
      <alignment horizontal="center"/>
    </xf>
    <xf numFmtId="0" fontId="41" fillId="0" borderId="1" xfId="1" applyFont="1" applyBorder="1" applyAlignment="1">
      <alignment horizontal="center"/>
    </xf>
    <xf numFmtId="0" fontId="42" fillId="0" borderId="1" xfId="1" applyFont="1" applyBorder="1" applyAlignment="1">
      <alignment horizontal="center"/>
    </xf>
    <xf numFmtId="0" fontId="42" fillId="0" borderId="33" xfId="1" applyFont="1" applyBorder="1" applyAlignment="1">
      <alignment horizontal="center"/>
    </xf>
    <xf numFmtId="4" fontId="42" fillId="0" borderId="34" xfId="2" applyNumberFormat="1" applyFont="1" applyFill="1" applyBorder="1" applyAlignment="1" applyProtection="1">
      <alignment horizontal="center"/>
    </xf>
    <xf numFmtId="4" fontId="42" fillId="0" borderId="32" xfId="1" applyNumberFormat="1" applyFont="1" applyBorder="1" applyAlignment="1">
      <alignment horizontal="center"/>
    </xf>
    <xf numFmtId="4" fontId="42" fillId="0" borderId="3" xfId="1" applyNumberFormat="1" applyFont="1" applyBorder="1" applyAlignment="1">
      <alignment horizontal="center"/>
    </xf>
    <xf numFmtId="10" fontId="33" fillId="14" borderId="6" xfId="1" applyNumberFormat="1" applyFont="1" applyFill="1" applyBorder="1" applyAlignment="1">
      <alignment horizontal="center" vertical="center"/>
    </xf>
    <xf numFmtId="4" fontId="20" fillId="0" borderId="0" xfId="1" applyNumberFormat="1" applyFont="1" applyAlignment="1">
      <alignment horizontal="center"/>
    </xf>
    <xf numFmtId="0" fontId="43" fillId="0" borderId="31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3" fillId="0" borderId="33" xfId="1" applyFont="1" applyBorder="1" applyAlignment="1">
      <alignment horizontal="center"/>
    </xf>
    <xf numFmtId="0" fontId="43" fillId="0" borderId="1" xfId="1" applyFont="1" applyBorder="1" applyAlignment="1">
      <alignment horizontal="center"/>
    </xf>
    <xf numFmtId="0" fontId="44" fillId="0" borderId="1" xfId="1" applyFont="1" applyBorder="1" applyAlignment="1">
      <alignment horizontal="center"/>
    </xf>
    <xf numFmtId="0" fontId="44" fillId="0" borderId="33" xfId="1" applyFont="1" applyBorder="1" applyAlignment="1">
      <alignment horizontal="center"/>
    </xf>
    <xf numFmtId="4" fontId="44" fillId="0" borderId="34" xfId="2" applyNumberFormat="1" applyFont="1" applyFill="1" applyBorder="1" applyAlignment="1" applyProtection="1">
      <alignment horizontal="center"/>
    </xf>
    <xf numFmtId="4" fontId="44" fillId="0" borderId="32" xfId="1" applyNumberFormat="1" applyFont="1" applyBorder="1" applyAlignment="1">
      <alignment horizontal="center"/>
    </xf>
    <xf numFmtId="4" fontId="44" fillId="0" borderId="3" xfId="1" applyNumberFormat="1" applyFont="1" applyBorder="1" applyAlignment="1">
      <alignment horizontal="center"/>
    </xf>
    <xf numFmtId="0" fontId="20" fillId="0" borderId="1" xfId="1" applyFont="1" applyBorder="1" applyAlignment="1" applyProtection="1">
      <alignment horizontal="center"/>
      <protection locked="0"/>
    </xf>
    <xf numFmtId="0" fontId="20" fillId="0" borderId="40" xfId="1" applyFont="1" applyBorder="1" applyAlignment="1" applyProtection="1">
      <alignment horizontal="center"/>
      <protection locked="0"/>
    </xf>
    <xf numFmtId="0" fontId="18" fillId="0" borderId="14" xfId="1" applyFont="1" applyBorder="1" applyAlignment="1" applyProtection="1">
      <alignment horizontal="center"/>
      <protection locked="0"/>
    </xf>
    <xf numFmtId="0" fontId="18" fillId="0" borderId="1" xfId="1" applyFont="1" applyBorder="1" applyAlignment="1" applyProtection="1">
      <alignment horizontal="center"/>
      <protection locked="0"/>
    </xf>
    <xf numFmtId="0" fontId="18" fillId="0" borderId="50" xfId="1" applyFont="1" applyBorder="1" applyAlignment="1" applyProtection="1">
      <alignment horizontal="center"/>
      <protection locked="0"/>
    </xf>
    <xf numFmtId="0" fontId="18" fillId="0" borderId="40" xfId="1" applyFont="1" applyBorder="1" applyAlignment="1" applyProtection="1">
      <alignment horizontal="center"/>
      <protection locked="0"/>
    </xf>
    <xf numFmtId="0" fontId="18" fillId="0" borderId="60" xfId="1" applyFont="1" applyBorder="1" applyAlignment="1" applyProtection="1">
      <alignment horizontal="center"/>
      <protection locked="0"/>
    </xf>
    <xf numFmtId="0" fontId="18" fillId="0" borderId="60" xfId="1" applyFont="1" applyBorder="1" applyAlignment="1">
      <alignment horizontal="center"/>
    </xf>
    <xf numFmtId="0" fontId="18" fillId="0" borderId="76" xfId="1" applyFont="1" applyBorder="1" applyAlignment="1" applyProtection="1">
      <alignment horizontal="center"/>
      <protection locked="0"/>
    </xf>
    <xf numFmtId="0" fontId="43" fillId="0" borderId="14" xfId="1" applyFont="1" applyBorder="1" applyAlignment="1">
      <alignment horizontal="center"/>
    </xf>
    <xf numFmtId="0" fontId="20" fillId="0" borderId="60" xfId="1" applyFont="1" applyBorder="1" applyAlignment="1">
      <alignment horizontal="center"/>
    </xf>
    <xf numFmtId="0" fontId="13" fillId="0" borderId="67" xfId="1" applyFont="1" applyBorder="1" applyAlignment="1">
      <alignment horizontal="center" vertical="center"/>
    </xf>
    <xf numFmtId="0" fontId="8" fillId="22" borderId="77" xfId="3" applyFont="1" applyFill="1" applyBorder="1" applyAlignment="1">
      <alignment horizontal="center"/>
    </xf>
    <xf numFmtId="0" fontId="47" fillId="0" borderId="77" xfId="3" applyFont="1" applyBorder="1" applyAlignment="1">
      <alignment horizontal="left"/>
    </xf>
    <xf numFmtId="0" fontId="8" fillId="0" borderId="77" xfId="3" applyFont="1" applyBorder="1" applyAlignment="1">
      <alignment horizontal="left"/>
    </xf>
    <xf numFmtId="0" fontId="8" fillId="0" borderId="78" xfId="3" applyFont="1" applyBorder="1" applyAlignment="1">
      <alignment horizontal="left"/>
    </xf>
    <xf numFmtId="4" fontId="8" fillId="0" borderId="79" xfId="3" applyNumberFormat="1" applyFont="1" applyBorder="1" applyAlignment="1">
      <alignment horizontal="center"/>
    </xf>
    <xf numFmtId="167" fontId="8" fillId="0" borderId="80" xfId="3" applyNumberFormat="1" applyFont="1" applyBorder="1" applyAlignment="1">
      <alignment horizontal="center"/>
    </xf>
    <xf numFmtId="0" fontId="22" fillId="0" borderId="0" xfId="3" applyFont="1" applyAlignment="1">
      <alignment horizontal="left"/>
    </xf>
    <xf numFmtId="0" fontId="1" fillId="0" borderId="0" xfId="3" applyFont="1" applyAlignment="1">
      <alignment horizontal="left"/>
    </xf>
    <xf numFmtId="168" fontId="22" fillId="0" borderId="0" xfId="3" applyNumberFormat="1" applyFont="1" applyAlignment="1">
      <alignment horizontal="center"/>
    </xf>
    <xf numFmtId="0" fontId="1" fillId="10" borderId="0" xfId="3" applyFont="1" applyFill="1" applyAlignment="1">
      <alignment horizontal="center"/>
    </xf>
    <xf numFmtId="3" fontId="3" fillId="0" borderId="0" xfId="3" applyNumberFormat="1" applyAlignment="1">
      <alignment horizontal="center"/>
    </xf>
    <xf numFmtId="0" fontId="48" fillId="0" borderId="0" xfId="3" applyFont="1" applyAlignment="1">
      <alignment horizontal="left" vertical="center"/>
    </xf>
    <xf numFmtId="0" fontId="48" fillId="0" borderId="0" xfId="3" applyFont="1" applyAlignment="1">
      <alignment horizontal="center" vertical="center"/>
    </xf>
    <xf numFmtId="3" fontId="48" fillId="0" borderId="0" xfId="3" applyNumberFormat="1" applyFont="1" applyAlignment="1">
      <alignment horizontal="center" vertical="center"/>
    </xf>
    <xf numFmtId="0" fontId="30" fillId="12" borderId="70" xfId="4" applyFont="1" applyFill="1" applyBorder="1" applyAlignment="1">
      <alignment horizontal="left" vertical="center"/>
    </xf>
    <xf numFmtId="0" fontId="18" fillId="0" borderId="28" xfId="1" applyFont="1" applyBorder="1" applyAlignment="1" applyProtection="1">
      <alignment horizontal="center"/>
      <protection locked="0"/>
    </xf>
    <xf numFmtId="0" fontId="20" fillId="0" borderId="18" xfId="1" applyFont="1" applyBorder="1" applyAlignment="1" applyProtection="1">
      <alignment horizontal="center"/>
      <protection locked="0"/>
    </xf>
    <xf numFmtId="0" fontId="18" fillId="0" borderId="18" xfId="1" applyFont="1" applyBorder="1" applyAlignment="1" applyProtection="1">
      <alignment horizontal="center"/>
      <protection locked="0"/>
    </xf>
    <xf numFmtId="0" fontId="18" fillId="0" borderId="64" xfId="1" applyFont="1" applyBorder="1" applyAlignment="1" applyProtection="1">
      <alignment horizontal="center"/>
      <protection locked="0"/>
    </xf>
    <xf numFmtId="0" fontId="46" fillId="0" borderId="1" xfId="1" applyFont="1" applyBorder="1" applyAlignment="1">
      <alignment horizontal="center"/>
    </xf>
    <xf numFmtId="0" fontId="20" fillId="0" borderId="64" xfId="1" applyFont="1" applyBorder="1" applyAlignment="1" applyProtection="1">
      <alignment horizontal="center"/>
      <protection locked="0"/>
    </xf>
    <xf numFmtId="0" fontId="20" fillId="0" borderId="64" xfId="1" applyFont="1" applyBorder="1" applyAlignment="1">
      <alignment horizontal="center"/>
    </xf>
    <xf numFmtId="0" fontId="20" fillId="0" borderId="50" xfId="1" applyFont="1" applyBorder="1" applyAlignment="1">
      <alignment horizontal="center"/>
    </xf>
    <xf numFmtId="0" fontId="20" fillId="0" borderId="14" xfId="1" applyFont="1" applyBorder="1" applyAlignment="1" applyProtection="1">
      <alignment horizontal="center"/>
      <protection locked="0"/>
    </xf>
    <xf numFmtId="0" fontId="18" fillId="0" borderId="40" xfId="0" applyFont="1" applyBorder="1"/>
    <xf numFmtId="0" fontId="20" fillId="0" borderId="60" xfId="1" applyFont="1" applyBorder="1" applyAlignment="1" applyProtection="1">
      <alignment horizontal="center"/>
      <protection locked="0"/>
    </xf>
    <xf numFmtId="0" fontId="44" fillId="0" borderId="14" xfId="1" applyFont="1" applyBorder="1" applyAlignment="1">
      <alignment horizontal="center"/>
    </xf>
    <xf numFmtId="0" fontId="49" fillId="0" borderId="1" xfId="1" applyFont="1" applyBorder="1" applyAlignment="1">
      <alignment horizontal="center"/>
    </xf>
    <xf numFmtId="0" fontId="50" fillId="0" borderId="0" xfId="0" applyFont="1"/>
    <xf numFmtId="167" fontId="33" fillId="14" borderId="6" xfId="1" applyNumberFormat="1" applyFont="1" applyFill="1" applyBorder="1" applyAlignment="1">
      <alignment horizontal="center" vertical="center"/>
    </xf>
    <xf numFmtId="0" fontId="51" fillId="0" borderId="3" xfId="0" applyFont="1" applyBorder="1" applyAlignment="1">
      <alignment horizontal="center"/>
    </xf>
    <xf numFmtId="0" fontId="51" fillId="0" borderId="33" xfId="1" applyFont="1" applyBorder="1" applyAlignment="1">
      <alignment horizontal="center"/>
    </xf>
    <xf numFmtId="0" fontId="51" fillId="0" borderId="1" xfId="1" applyFont="1" applyBorder="1" applyAlignment="1">
      <alignment horizontal="center"/>
    </xf>
    <xf numFmtId="0" fontId="52" fillId="0" borderId="1" xfId="1" applyFont="1" applyBorder="1" applyAlignment="1">
      <alignment horizontal="center"/>
    </xf>
    <xf numFmtId="0" fontId="52" fillId="0" borderId="33" xfId="1" applyFont="1" applyBorder="1" applyAlignment="1">
      <alignment horizontal="center"/>
    </xf>
    <xf numFmtId="4" fontId="52" fillId="0" borderId="34" xfId="2" applyNumberFormat="1" applyFont="1" applyFill="1" applyBorder="1" applyAlignment="1" applyProtection="1">
      <alignment horizontal="center"/>
    </xf>
    <xf numFmtId="4" fontId="52" fillId="0" borderId="32" xfId="1" applyNumberFormat="1" applyFont="1" applyBorder="1" applyAlignment="1">
      <alignment horizontal="center"/>
    </xf>
    <xf numFmtId="4" fontId="52" fillId="0" borderId="3" xfId="1" applyNumberFormat="1" applyFont="1" applyBorder="1" applyAlignment="1">
      <alignment horizontal="center"/>
    </xf>
    <xf numFmtId="0" fontId="18" fillId="14" borderId="3" xfId="0" applyFont="1" applyFill="1" applyBorder="1" applyAlignment="1">
      <alignment horizontal="center"/>
    </xf>
    <xf numFmtId="0" fontId="43" fillId="14" borderId="33" xfId="1" applyFont="1" applyFill="1" applyBorder="1" applyAlignment="1">
      <alignment horizontal="center"/>
    </xf>
    <xf numFmtId="0" fontId="18" fillId="14" borderId="1" xfId="1" applyFont="1" applyFill="1" applyBorder="1" applyAlignment="1">
      <alignment horizontal="center"/>
    </xf>
    <xf numFmtId="0" fontId="20" fillId="14" borderId="1" xfId="1" applyFont="1" applyFill="1" applyBorder="1" applyAlignment="1">
      <alignment horizontal="center"/>
    </xf>
    <xf numFmtId="0" fontId="20" fillId="14" borderId="33" xfId="1" applyFont="1" applyFill="1" applyBorder="1" applyAlignment="1">
      <alignment horizontal="center"/>
    </xf>
    <xf numFmtId="4" fontId="20" fillId="14" borderId="34" xfId="2" applyNumberFormat="1" applyFont="1" applyFill="1" applyBorder="1" applyAlignment="1" applyProtection="1">
      <alignment horizontal="center"/>
    </xf>
    <xf numFmtId="0" fontId="18" fillId="0" borderId="81" xfId="0" applyFont="1" applyBorder="1" applyAlignment="1">
      <alignment horizontal="center"/>
    </xf>
    <xf numFmtId="0" fontId="21" fillId="0" borderId="70" xfId="0" applyFont="1" applyBorder="1" applyProtection="1">
      <protection hidden="1"/>
    </xf>
    <xf numFmtId="0" fontId="53" fillId="0" borderId="1" xfId="1" applyFont="1" applyBorder="1" applyAlignment="1">
      <alignment horizontal="center"/>
    </xf>
    <xf numFmtId="4" fontId="20" fillId="0" borderId="40" xfId="3" applyNumberFormat="1" applyFont="1" applyBorder="1" applyAlignment="1">
      <alignment horizontal="center"/>
    </xf>
    <xf numFmtId="0" fontId="54" fillId="0" borderId="3" xfId="0" applyFont="1" applyBorder="1" applyAlignment="1">
      <alignment horizontal="center"/>
    </xf>
    <xf numFmtId="0" fontId="54" fillId="0" borderId="33" xfId="1" applyFont="1" applyBorder="1" applyAlignment="1">
      <alignment horizontal="center"/>
    </xf>
    <xf numFmtId="0" fontId="54" fillId="0" borderId="1" xfId="1" applyFont="1" applyBorder="1" applyAlignment="1">
      <alignment horizontal="center"/>
    </xf>
    <xf numFmtId="0" fontId="55" fillId="0" borderId="1" xfId="1" applyFont="1" applyBorder="1" applyAlignment="1">
      <alignment horizontal="center"/>
    </xf>
    <xf numFmtId="0" fontId="55" fillId="0" borderId="33" xfId="1" quotePrefix="1" applyFont="1" applyBorder="1" applyAlignment="1">
      <alignment horizontal="center"/>
    </xf>
    <xf numFmtId="4" fontId="55" fillId="0" borderId="34" xfId="2" applyNumberFormat="1" applyFont="1" applyFill="1" applyBorder="1" applyAlignment="1" applyProtection="1">
      <alignment horizontal="center"/>
    </xf>
    <xf numFmtId="4" fontId="55" fillId="0" borderId="32" xfId="1" applyNumberFormat="1" applyFont="1" applyBorder="1" applyAlignment="1">
      <alignment horizontal="center"/>
    </xf>
    <xf numFmtId="4" fontId="55" fillId="0" borderId="3" xfId="1" applyNumberFormat="1" applyFont="1" applyBorder="1" applyAlignment="1">
      <alignment horizontal="center"/>
    </xf>
    <xf numFmtId="0" fontId="55" fillId="0" borderId="33" xfId="1" applyFont="1" applyBorder="1" applyAlignment="1">
      <alignment horizontal="center"/>
    </xf>
    <xf numFmtId="0" fontId="20" fillId="23" borderId="1" xfId="1" applyFont="1" applyFill="1" applyBorder="1" applyAlignment="1" applyProtection="1">
      <alignment horizontal="center"/>
      <protection locked="0"/>
    </xf>
    <xf numFmtId="0" fontId="18" fillId="23" borderId="1" xfId="1" applyFont="1" applyFill="1" applyBorder="1" applyAlignment="1" applyProtection="1">
      <alignment horizontal="center"/>
      <protection locked="0"/>
    </xf>
    <xf numFmtId="0" fontId="18" fillId="23" borderId="14" xfId="1" applyFont="1" applyFill="1" applyBorder="1" applyAlignment="1" applyProtection="1">
      <alignment horizontal="center"/>
      <protection locked="0"/>
    </xf>
    <xf numFmtId="0" fontId="20" fillId="23" borderId="40" xfId="1" applyFont="1" applyFill="1" applyBorder="1" applyAlignment="1" applyProtection="1">
      <alignment horizontal="center"/>
      <protection locked="0"/>
    </xf>
    <xf numFmtId="0" fontId="14" fillId="24" borderId="0" xfId="0" applyFont="1" applyFill="1"/>
    <xf numFmtId="0" fontId="18" fillId="24" borderId="31" xfId="0" applyFont="1" applyFill="1" applyBorder="1" applyAlignment="1">
      <alignment horizontal="center"/>
    </xf>
    <xf numFmtId="0" fontId="18" fillId="24" borderId="32" xfId="0" applyFont="1" applyFill="1" applyBorder="1" applyAlignment="1">
      <alignment horizontal="center"/>
    </xf>
    <xf numFmtId="0" fontId="18" fillId="24" borderId="1" xfId="1" applyFont="1" applyFill="1" applyBorder="1" applyAlignment="1">
      <alignment horizontal="center"/>
    </xf>
    <xf numFmtId="0" fontId="18" fillId="24" borderId="50" xfId="1" applyFont="1" applyFill="1" applyBorder="1" applyAlignment="1" applyProtection="1">
      <alignment horizontal="center"/>
      <protection locked="0"/>
    </xf>
    <xf numFmtId="0" fontId="18" fillId="24" borderId="1" xfId="1" applyFont="1" applyFill="1" applyBorder="1" applyAlignment="1" applyProtection="1">
      <alignment horizontal="center"/>
      <protection locked="0"/>
    </xf>
    <xf numFmtId="0" fontId="20" fillId="24" borderId="40" xfId="1" applyFont="1" applyFill="1" applyBorder="1" applyAlignment="1">
      <alignment horizontal="center"/>
    </xf>
    <xf numFmtId="0" fontId="20" fillId="24" borderId="33" xfId="1" quotePrefix="1" applyFont="1" applyFill="1" applyBorder="1" applyAlignment="1">
      <alignment horizontal="center"/>
    </xf>
    <xf numFmtId="4" fontId="20" fillId="24" borderId="34" xfId="2" applyNumberFormat="1" applyFont="1" applyFill="1" applyBorder="1" applyAlignment="1" applyProtection="1">
      <alignment horizontal="center"/>
    </xf>
    <xf numFmtId="4" fontId="20" fillId="24" borderId="32" xfId="1" applyNumberFormat="1" applyFont="1" applyFill="1" applyBorder="1" applyAlignment="1">
      <alignment horizontal="center"/>
    </xf>
    <xf numFmtId="4" fontId="20" fillId="24" borderId="1" xfId="3" applyNumberFormat="1" applyFont="1" applyFill="1" applyBorder="1" applyAlignment="1">
      <alignment horizontal="center"/>
    </xf>
    <xf numFmtId="0" fontId="20" fillId="24" borderId="0" xfId="0" applyFont="1" applyFill="1"/>
    <xf numFmtId="0" fontId="16" fillId="24" borderId="0" xfId="0" applyFont="1" applyFill="1"/>
    <xf numFmtId="0" fontId="18" fillId="0" borderId="3" xfId="0" applyFont="1" applyFill="1" applyBorder="1" applyAlignment="1" applyProtection="1">
      <alignment horizontal="center"/>
    </xf>
    <xf numFmtId="0" fontId="18" fillId="0" borderId="33" xfId="1" applyFont="1" applyFill="1" applyBorder="1" applyAlignment="1" applyProtection="1">
      <alignment horizontal="center"/>
    </xf>
    <xf numFmtId="0" fontId="18" fillId="0" borderId="1" xfId="1" applyFont="1" applyFill="1" applyBorder="1" applyAlignment="1" applyProtection="1">
      <alignment horizontal="center"/>
    </xf>
    <xf numFmtId="0" fontId="20" fillId="0" borderId="1" xfId="1" applyNumberFormat="1" applyFont="1" applyFill="1" applyBorder="1" applyAlignment="1" applyProtection="1">
      <alignment horizontal="center"/>
    </xf>
    <xf numFmtId="0" fontId="20" fillId="0" borderId="33" xfId="1" applyNumberFormat="1" applyFont="1" applyFill="1" applyBorder="1" applyAlignment="1" applyProtection="1">
      <alignment horizontal="center"/>
    </xf>
    <xf numFmtId="4" fontId="20" fillId="0" borderId="32" xfId="1" applyNumberFormat="1" applyFont="1" applyFill="1" applyBorder="1" applyAlignment="1" applyProtection="1">
      <alignment horizontal="center"/>
    </xf>
    <xf numFmtId="4" fontId="20" fillId="0" borderId="3" xfId="1" applyNumberFormat="1" applyFont="1" applyFill="1" applyBorder="1" applyAlignment="1" applyProtection="1">
      <alignment horizontal="center"/>
    </xf>
    <xf numFmtId="0" fontId="56" fillId="0" borderId="3" xfId="0" applyFont="1" applyFill="1" applyBorder="1" applyAlignment="1" applyProtection="1">
      <alignment horizontal="center"/>
    </xf>
    <xf numFmtId="0" fontId="18" fillId="8" borderId="82" xfId="0" applyFont="1" applyFill="1" applyBorder="1" applyAlignment="1">
      <alignment horizontal="center"/>
    </xf>
    <xf numFmtId="0" fontId="21" fillId="0" borderId="0" xfId="0" applyFont="1" applyBorder="1" applyProtection="1">
      <protection hidden="1"/>
    </xf>
    <xf numFmtId="0" fontId="30" fillId="14" borderId="0" xfId="4" applyFont="1" applyFill="1" applyBorder="1" applyAlignment="1">
      <alignment horizontal="left" vertical="center"/>
    </xf>
    <xf numFmtId="0" fontId="22" fillId="0" borderId="0" xfId="4" applyFont="1" applyBorder="1" applyAlignment="1">
      <alignment horizontal="left" vertical="center"/>
    </xf>
    <xf numFmtId="0" fontId="8" fillId="0" borderId="0" xfId="3" applyFont="1" applyBorder="1" applyAlignment="1">
      <alignment horizontal="center"/>
    </xf>
    <xf numFmtId="4" fontId="22" fillId="0" borderId="0" xfId="4" applyNumberFormat="1" applyFont="1" applyBorder="1" applyAlignment="1">
      <alignment horizontal="center" vertical="center"/>
    </xf>
    <xf numFmtId="0" fontId="39" fillId="18" borderId="0" xfId="1" applyFont="1" applyFill="1" applyAlignment="1">
      <alignment horizontal="center" vertical="center"/>
    </xf>
    <xf numFmtId="4" fontId="9" fillId="0" borderId="57" xfId="1" applyNumberFormat="1" applyFont="1" applyBorder="1" applyAlignment="1">
      <alignment horizontal="center" vertical="center"/>
    </xf>
    <xf numFmtId="0" fontId="9" fillId="0" borderId="12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 vertical="center" wrapText="1"/>
    </xf>
    <xf numFmtId="0" fontId="9" fillId="0" borderId="20" xfId="1" applyFont="1" applyBorder="1" applyAlignment="1">
      <alignment horizontal="center" vertical="center" wrapText="1"/>
    </xf>
    <xf numFmtId="0" fontId="25" fillId="9" borderId="0" xfId="3" applyFont="1" applyFill="1" applyAlignment="1">
      <alignment horizontal="center" vertical="center"/>
    </xf>
    <xf numFmtId="0" fontId="27" fillId="9" borderId="0" xfId="3" applyFont="1" applyFill="1" applyAlignment="1">
      <alignment horizontal="center" vertical="center"/>
    </xf>
    <xf numFmtId="0" fontId="28" fillId="9" borderId="0" xfId="3" applyFont="1" applyFill="1" applyAlignment="1">
      <alignment horizontal="center" vertical="center"/>
    </xf>
  </cellXfs>
  <cellStyles count="14">
    <cellStyle name="Comma [0]" xfId="2" builtinId="6"/>
    <cellStyle name="Comma [0] 2" xfId="6"/>
    <cellStyle name="Comma [0] 3" xfId="5"/>
    <cellStyle name="Comma [0] 4" xfId="8"/>
    <cellStyle name="Comma 2" xfId="10"/>
    <cellStyle name="Comma 3" xfId="11"/>
    <cellStyle name="Comma 4" xfId="12"/>
    <cellStyle name="Comma 5" xfId="13"/>
    <cellStyle name="Normal" xfId="0" builtinId="0"/>
    <cellStyle name="Normal 2" xfId="7"/>
    <cellStyle name="Normal 7" xfId="3"/>
    <cellStyle name="Normal_QE" xfId="4"/>
    <cellStyle name="Normal_QUANTITE ET DESCRIPTION" xfId="1"/>
    <cellStyle name="Percent 2" xfId="9"/>
  </cellStyles>
  <dxfs count="1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169" formatCode="_-* #,##0.00_-;\-* #,##0.00_-;_-* &quot;-&quot;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FF0000"/>
        </left>
        <right style="medium">
          <color rgb="FFFF0000"/>
        </right>
        <top/>
        <bottom style="medium">
          <color rgb="FFFF000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medium">
          <color rgb="FF000000"/>
        </left>
        <right style="medium">
          <color rgb="FF000000"/>
        </right>
        <bottom style="medium">
          <color rgb="FF000000"/>
        </bottom>
      </border>
    </dxf>
    <dxf>
      <protection locked="1" hidden="0"/>
    </dxf>
    <dxf>
      <border outline="0">
        <bottom style="medium">
          <color rgb="FF000000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169" formatCode="_-* #,##0.00_-;\-* #,##0.00_-;_-* &quot;-&quot;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FF0000"/>
        </left>
        <right style="medium">
          <color rgb="FFFF0000"/>
        </right>
        <top/>
        <bottom style="medium">
          <color rgb="FFFF000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protection locked="1" hidden="0"/>
    </dxf>
    <dxf>
      <border outline="0">
        <bottom style="medium">
          <color indexed="64"/>
        </bottom>
      </border>
    </dxf>
    <dxf>
      <protection locked="1" hidden="0"/>
    </dxf>
    <dxf>
      <fill>
        <patternFill patternType="solid">
          <fgColor theme="5" tint="0.79995117038483843"/>
          <bgColor rgb="FFC00000"/>
        </patternFill>
      </fill>
    </dxf>
    <dxf>
      <fill>
        <patternFill patternType="solid">
          <fgColor theme="5" tint="0.79995117038483843"/>
          <bgColor rgb="FFC00000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5" tint="0.79995117038483843"/>
          <bgColor rgb="FFFFA3A3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5" tint="0.59999389629810485"/>
          <bgColor theme="5" tint="0.59999389629810485"/>
        </patternFill>
      </fill>
    </dxf>
    <dxf>
      <font>
        <b/>
        <color theme="1"/>
      </font>
      <border>
        <left style="medium">
          <color theme="5" tint="0.59999389629810485"/>
        </left>
        <right style="medium">
          <color theme="5" tint="0.59999389629810485"/>
        </right>
        <top style="medium">
          <color theme="5" tint="0.59999389629810485"/>
        </top>
        <bottom style="medium">
          <color theme="5" tint="0.59999389629810485"/>
        </bottom>
      </border>
    </dxf>
    <dxf>
      <border>
        <left style="thin">
          <color theme="5" tint="0.39997558519241921"/>
        </left>
        <right style="thin">
          <color theme="5" tint="0.39997558519241921"/>
        </right>
      </border>
    </dxf>
    <dxf>
      <border>
        <top style="thin">
          <color theme="5" tint="0.39997558519241921"/>
        </top>
        <bottom style="thin">
          <color theme="5" tint="0.39997558519241921"/>
        </bottom>
        <horizontal style="thin">
          <color theme="5" tint="0.39997558519241921"/>
        </horizontal>
      </border>
    </dxf>
    <dxf>
      <font>
        <b/>
        <color theme="1"/>
      </font>
      <border>
        <top style="thin">
          <color theme="5" tint="-0.249977111117893"/>
        </top>
        <bottom style="medium">
          <color theme="5" tint="-0.249977111117893"/>
        </bottom>
      </border>
    </dxf>
    <dxf>
      <font>
        <b/>
        <color theme="0"/>
      </font>
      <fill>
        <patternFill patternType="solid">
          <fgColor theme="5"/>
          <bgColor rgb="FFC00000"/>
        </patternFill>
      </fill>
      <border>
        <top style="medium">
          <color theme="5" tint="-0.249977111117893"/>
        </top>
      </border>
    </dxf>
    <dxf>
      <font>
        <color theme="1"/>
      </font>
    </dxf>
  </dxfs>
  <tableStyles count="2" defaultTableStyle="TableStyleMedium2" defaultPivotStyle="PivotStyleLight16">
    <tableStyle name="Invisible" pivot="0" table="0" count="0"/>
    <tableStyle name="PivotStyleMedium10 2" table="0" count="12">
      <tableStyleElement type="wholeTable" dxfId="122"/>
      <tableStyleElement type="headerRow" dxfId="121"/>
      <tableStyleElement type="totalRow" dxfId="120"/>
      <tableStyleElement type="firstRowStripe" dxfId="119"/>
      <tableStyleElement type="firstColumnStripe" dxfId="118"/>
      <tableStyleElement type="firstSubtotalColumn" dxfId="117"/>
      <tableStyleElement type="firstSubtotalRow" dxfId="116"/>
      <tableStyleElement type="secondSubtotalRow" dxfId="115"/>
      <tableStyleElement type="firstRowSubheading" dxfId="114"/>
      <tableStyleElement type="secondRowSubheading" dxfId="113"/>
      <tableStyleElement type="pageFieldLabels" dxfId="112"/>
      <tableStyleElement type="pageFieldValues" dxfId="1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52387</xdr:colOff>
      <xdr:row>0</xdr:row>
      <xdr:rowOff>90488</xdr:rowOff>
    </xdr:from>
    <xdr:to>
      <xdr:col>3</xdr:col>
      <xdr:colOff>464964</xdr:colOff>
      <xdr:row>4</xdr:row>
      <xdr:rowOff>63580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BD594FA-8E7E-4E7D-8132-46EC7E5DFB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054"/>
        <a:stretch/>
      </xdr:blipFill>
      <xdr:spPr>
        <a:xfrm>
          <a:off x="52387" y="90488"/>
          <a:ext cx="1697182" cy="100433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id="1" name="Table1" displayName="Table1" ref="B9:AB176" totalsRowShown="0" headerRowDxfId="110" dataDxfId="108" headerRowBorderDxfId="109" tableBorderDxfId="107">
  <autoFilter ref="B9:AB176"/>
  <tableColumns count="27">
    <tableColumn id="1" name="POS" dataDxfId="106" totalsRowDxfId="105"/>
    <tableColumn id="21" name="Navision Code" dataDxfId="104" totalsRowDxfId="103"/>
    <tableColumn id="22" name="Packing Type" dataDxfId="102" totalsRowDxfId="101"/>
    <tableColumn id="23" name="Packing Unit" dataDxfId="100" totalsRowDxfId="99"/>
    <tableColumn id="24" name="Coil Size" dataDxfId="98" totalsRowDxfId="97"/>
    <tableColumn id="2" name="TYPE" dataDxfId="96" totalsRowDxfId="95" dataCellStyle="Normal_QUANTITE ET DESCRIPTION"/>
    <tableColumn id="3" name="SIZE" dataDxfId="94" totalsRowDxfId="93" dataCellStyle="Normal_QUANTITE ET DESCRIPTION"/>
    <tableColumn id="4" name="Cod No" dataDxfId="92" totalsRowDxfId="91" dataCellStyle="Normal_QUANTITE ET DESCRIPTION"/>
    <tableColumn id="5" name="B" dataDxfId="90" dataCellStyle="Normal_QUANTITE ET DESCRIPTION"/>
    <tableColumn id="6" name="BE" dataDxfId="89" totalsRowDxfId="88" dataCellStyle="Normal_QUANTITE ET DESCRIPTION"/>
    <tableColumn id="7" name="G" dataDxfId="87" totalsRowDxfId="86" dataCellStyle="Normal_QUANTITE ET DESCRIPTION"/>
    <tableColumn id="8" name="J" dataDxfId="85" totalsRowDxfId="84" dataCellStyle="Normal_QUANTITE ET DESCRIPTION"/>
    <tableColumn id="9" name="N" dataDxfId="83" dataCellStyle="Normal_QUANTITE ET DESCRIPTION"/>
    <tableColumn id="10" name="R" dataDxfId="82" totalsRowDxfId="81" dataCellStyle="Normal_QUANTITE ET DESCRIPTION"/>
    <tableColumn id="11" name="V" dataDxfId="80" totalsRowDxfId="79" dataCellStyle="Normal_QUANTITE ET DESCRIPTION"/>
    <tableColumn id="12" name="VJ" dataDxfId="78" totalsRowDxfId="77" dataCellStyle="Normal_QUANTITE ET DESCRIPTION"/>
    <tableColumn id="18" name="RN" dataDxfId="76" totalsRowDxfId="75" dataCellStyle="Normal_QUANTITE ET DESCRIPTION"/>
    <tableColumn id="13" name="Blank" dataDxfId="74" dataCellStyle="Normal_QUANTITE ET DESCRIPTION"/>
    <tableColumn id="14" name="D10" dataDxfId="73" totalsRowDxfId="72" dataCellStyle="Normal_QUANTITE ET DESCRIPTION">
      <calculatedColumnFormula>SUM(Table1[[#This Row],[B]:[Blank]])</calculatedColumnFormula>
    </tableColumn>
    <tableColumn id="15" name="KG" dataDxfId="71" totalsRowDxfId="70" dataCellStyle="Comma [0]"/>
    <tableColumn id="16" name="Total" dataDxfId="69" totalsRowDxfId="68" dataCellStyle="Normal_QUANTITE ET DESCRIPTION">
      <calculatedColumnFormula>U10*T10</calculatedColumnFormula>
    </tableColumn>
    <tableColumn id="17" name="Weight/KYD" dataDxfId="67" totalsRowDxfId="66" dataCellStyle="Normal_QUANTITE ET DESCRIPTION"/>
    <tableColumn id="20" name="CO(KG)" dataDxfId="65" totalsRowDxfId="64" dataCellStyle="Normal_QUANTITE ET DESCRIPTION">
      <calculatedColumnFormula>Table1[[#This Row],[Coil Size]]*Table1[[#This Row],[D10]]/1000*VLOOKUP(Table1[[#This Row],[Navision Code]],'TABULAR PRICE LIST'!A:L,11,FALSE)</calculatedColumnFormula>
    </tableColumn>
    <tableColumn id="25" name="AL(KG)" dataDxfId="63" totalsRowDxfId="62" dataCellStyle="Normal_QUANTITE ET DESCRIPTION">
      <calculatedColumnFormula>IFERROR(Table1[[#This Row],[Coil Size]]*Table1[[#This Row],[D10]]/1000*VLOOKUP(Table1[[#This Row],[Navision Code]],'TABULAR PRICE LIST'!A:L,10,FALSE),0)</calculatedColumnFormula>
    </tableColumn>
    <tableColumn id="26" name="UP $/UOM" dataDxfId="61" dataCellStyle="Normal_QUANTITE ET DESCRIPTION">
      <calculatedColumnFormula>VLOOKUP(C10,'TABULAR PRICE LIST'!$A:$L,12,FALSE)</calculatedColumnFormula>
    </tableColumn>
    <tableColumn id="27" name="QTY (KYD)" dataDxfId="60" totalsRowDxfId="59" dataCellStyle="Normal_QUANTITE ET DESCRIPTION">
      <calculatedColumnFormula>Table1[[#This Row],[Coil Size]]*Table1[[#This Row],[D10]]/1000</calculatedColumnFormula>
    </tableColumn>
    <tableColumn id="19" name="REM." dataDxfId="58" totalsRowDxfId="57" dataCellStyle="Normal_QUANTITE ET DESCRIPTION">
      <calculatedColumnFormula>Table1[[#This Row],[Weight/KYD]]*Table1[[#This Row],[D10]]</calculatedColumnFormula>
    </tableColumn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id="3" name="Table14" displayName="Table14" ref="B9:AB254" totalsRowShown="0" headerRowDxfId="56" dataDxfId="54" headerRowBorderDxfId="55" tableBorderDxfId="53">
  <autoFilter ref="B9:AB254"/>
  <tableColumns count="27">
    <tableColumn id="1" name="POS" dataDxfId="52" totalsRowDxfId="51"/>
    <tableColumn id="21" name="Navision Code" dataDxfId="50" totalsRowDxfId="49"/>
    <tableColumn id="22" name="Packing Type" dataDxfId="48" totalsRowDxfId="47"/>
    <tableColumn id="23" name="Packing Unit" dataDxfId="46" totalsRowDxfId="45"/>
    <tableColumn id="24" name="Coil Size" dataDxfId="44" totalsRowDxfId="43"/>
    <tableColumn id="2" name="TYPE" dataDxfId="42" totalsRowDxfId="41" dataCellStyle="Normal_QUANTITE ET DESCRIPTION"/>
    <tableColumn id="3" name="SIZE" dataDxfId="40" totalsRowDxfId="39" dataCellStyle="Normal_QUANTITE ET DESCRIPTION"/>
    <tableColumn id="4" name="Cod No" dataDxfId="38" totalsRowDxfId="37" dataCellStyle="Normal_QUANTITE ET DESCRIPTION"/>
    <tableColumn id="5" name="B" dataDxfId="36" totalsRowDxfId="35" dataCellStyle="Normal_QUANTITE ET DESCRIPTION">
      <calculatedColumnFormula>Table1[[#This Row],[B]]</calculatedColumnFormula>
    </tableColumn>
    <tableColumn id="6" name="BE" dataDxfId="34" totalsRowDxfId="33" dataCellStyle="Normal_QUANTITE ET DESCRIPTION">
      <calculatedColumnFormula>Table1[[#This Row],[BE]]</calculatedColumnFormula>
    </tableColumn>
    <tableColumn id="7" name="G" dataDxfId="32" totalsRowDxfId="31" dataCellStyle="Normal_QUANTITE ET DESCRIPTION">
      <calculatedColumnFormula>Table1[[#This Row],[G]]</calculatedColumnFormula>
    </tableColumn>
    <tableColumn id="8" name="J" dataDxfId="30" totalsRowDxfId="29" dataCellStyle="Normal_QUANTITE ET DESCRIPTION">
      <calculatedColumnFormula>Table1[[#This Row],[J]]</calculatedColumnFormula>
    </tableColumn>
    <tableColumn id="9" name="N" dataDxfId="28" totalsRowDxfId="27" dataCellStyle="Normal_QUANTITE ET DESCRIPTION">
      <calculatedColumnFormula>Table1[[#This Row],[N]]</calculatedColumnFormula>
    </tableColumn>
    <tableColumn id="10" name="R" dataDxfId="26" totalsRowDxfId="25" dataCellStyle="Normal_QUANTITE ET DESCRIPTION">
      <calculatedColumnFormula>Table1[[#This Row],[R]]</calculatedColumnFormula>
    </tableColumn>
    <tableColumn id="11" name="V" dataDxfId="24" totalsRowDxfId="23" dataCellStyle="Normal_QUANTITE ET DESCRIPTION">
      <calculatedColumnFormula>Table1[[#This Row],[V]]</calculatedColumnFormula>
    </tableColumn>
    <tableColumn id="12" name="VJ" dataDxfId="22" totalsRowDxfId="21" dataCellStyle="Normal_QUANTITE ET DESCRIPTION">
      <calculatedColumnFormula>Table1[[#This Row],[VJ]]</calculatedColumnFormula>
    </tableColumn>
    <tableColumn id="18" name="RN" dataDxfId="20" totalsRowDxfId="19" dataCellStyle="Normal_QUANTITE ET DESCRIPTION">
      <calculatedColumnFormula>Table1[[#This Row],[RN]]</calculatedColumnFormula>
    </tableColumn>
    <tableColumn id="13" name="Blank" dataDxfId="18" totalsRowDxfId="17" dataCellStyle="Normal_QUANTITE ET DESCRIPTION">
      <calculatedColumnFormula>Table1[[#This Row],[Blank]]</calculatedColumnFormula>
    </tableColumn>
    <tableColumn id="14" name="D10" dataDxfId="16" totalsRowDxfId="15" dataCellStyle="Normal_QUANTITE ET DESCRIPTION">
      <calculatedColumnFormula>SUM(Table14[[#This Row],[B]:[Blank]])</calculatedColumnFormula>
    </tableColumn>
    <tableColumn id="15" name="KG" dataDxfId="14" totalsRowDxfId="13" dataCellStyle="Comma [0]"/>
    <tableColumn id="16" name="Total" dataDxfId="12" totalsRowDxfId="11" dataCellStyle="Normal_QUANTITE ET DESCRIPTION">
      <calculatedColumnFormula>U10*T10</calculatedColumnFormula>
    </tableColumn>
    <tableColumn id="17" name="Weight/KYD" dataDxfId="10" totalsRowDxfId="9" dataCellStyle="Normal_QUANTITE ET DESCRIPTION"/>
    <tableColumn id="20" name="CO(KG)" dataDxfId="8" totalsRowDxfId="7" dataCellStyle="Normal_QUANTITE ET DESCRIPTION">
      <calculatedColumnFormula>Table14[[#This Row],[Coil Size]]*Table14[[#This Row],[D10]]/1000*VLOOKUP(Table14[[#This Row],[Navision Code]],'TABULAR PRICE LIST'!A:L,11,FALSE)</calculatedColumnFormula>
    </tableColumn>
    <tableColumn id="25" name="AL(KG)" dataDxfId="6" totalsRowDxfId="5" dataCellStyle="Normal_QUANTITE ET DESCRIPTION">
      <calculatedColumnFormula>IFERROR(Table14[[#This Row],[Coil Size]]*Table14[[#This Row],[D10]]/1000*VLOOKUP(Table14[[#This Row],[Navision Code]],'TABULAR PRICE LIST'!A:L,10,FALSE),0)</calculatedColumnFormula>
    </tableColumn>
    <tableColumn id="26" name="UP $/UOM" dataDxfId="4" dataCellStyle="Normal_QUANTITE ET DESCRIPTION">
      <calculatedColumnFormula>VLOOKUP(C10,'TABULAR PRICE LIST'!$A:$L,12,FALSE)</calculatedColumnFormula>
    </tableColumn>
    <tableColumn id="27" name="QTY (KYD)" dataDxfId="3" totalsRowDxfId="2" dataCellStyle="Normal_QUANTITE ET DESCRIPTION">
      <calculatedColumnFormula>Table14[[#This Row],[Coil Size]]*Table14[[#This Row],[D10]]/1000</calculatedColumnFormula>
    </tableColumn>
    <tableColumn id="19" name="REM." dataDxfId="1" totalsRowDxfId="0" dataCellStyle="Normal_QUANTITE ET DESCRIPTION">
      <calculatedColumnFormula>Table14[[#This Row],[Weight/KYD]]*Table14[[#This Row],[D10]]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C8"/>
  <sheetViews>
    <sheetView workbookViewId="0">
      <selection activeCell="B3" sqref="B3:C8"/>
    </sheetView>
  </sheetViews>
  <sheetFormatPr defaultColWidth="8.81640625" defaultRowHeight="14.5" x14ac:dyDescent="0.35"/>
  <cols>
    <col min="2" max="2" width="24.36328125" customWidth="1"/>
    <col min="3" max="3" width="10.08984375" bestFit="1" customWidth="1"/>
  </cols>
  <sheetData>
    <row r="2" spans="2:3" x14ac:dyDescent="0.35">
      <c r="B2" s="168" t="s">
        <v>508</v>
      </c>
      <c r="C2" s="168" t="s">
        <v>507</v>
      </c>
    </row>
    <row r="3" spans="2:3" x14ac:dyDescent="0.35">
      <c r="B3" s="170" t="s">
        <v>509</v>
      </c>
      <c r="C3" s="169" t="s">
        <v>553</v>
      </c>
    </row>
    <row r="4" spans="2:3" x14ac:dyDescent="0.35">
      <c r="B4" s="172" t="s">
        <v>510</v>
      </c>
      <c r="C4" s="171" t="s">
        <v>554</v>
      </c>
    </row>
    <row r="5" spans="2:3" x14ac:dyDescent="0.35">
      <c r="B5" s="170" t="s">
        <v>511</v>
      </c>
      <c r="C5" s="169" t="s">
        <v>555</v>
      </c>
    </row>
    <row r="6" spans="2:3" x14ac:dyDescent="0.35">
      <c r="B6" s="172" t="s">
        <v>556</v>
      </c>
      <c r="C6" s="171" t="s">
        <v>557</v>
      </c>
    </row>
    <row r="7" spans="2:3" x14ac:dyDescent="0.35">
      <c r="B7" s="170" t="s">
        <v>520</v>
      </c>
      <c r="C7" s="169" t="s">
        <v>558</v>
      </c>
    </row>
    <row r="8" spans="2:3" x14ac:dyDescent="0.35">
      <c r="B8" s="172" t="s">
        <v>512</v>
      </c>
      <c r="C8" s="171" t="s">
        <v>559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206"/>
  <sheetViews>
    <sheetView tabSelected="1" topLeftCell="H1" zoomScaleNormal="100" zoomScalePageLayoutView="80" workbookViewId="0">
      <selection activeCell="J10" sqref="J10:S176"/>
    </sheetView>
  </sheetViews>
  <sheetFormatPr defaultColWidth="9.08984375" defaultRowHeight="19" x14ac:dyDescent="0.4"/>
  <cols>
    <col min="1" max="1" width="6.36328125" style="174" bestFit="1" customWidth="1"/>
    <col min="2" max="2" width="24.36328125" style="174" bestFit="1" customWidth="1"/>
    <col min="3" max="3" width="25.36328125" style="174" bestFit="1" customWidth="1"/>
    <col min="4" max="7" width="17.36328125" style="174" customWidth="1"/>
    <col min="8" max="8" width="45.36328125" style="174" bestFit="1" customWidth="1"/>
    <col min="9" max="9" width="14.08984375" style="174" customWidth="1"/>
    <col min="10" max="12" width="9.08984375" style="186" customWidth="1"/>
    <col min="13" max="13" width="9.81640625" style="186" customWidth="1"/>
    <col min="14" max="18" width="9.08984375" style="186" customWidth="1"/>
    <col min="19" max="19" width="9.36328125" style="186" customWidth="1"/>
    <col min="20" max="20" width="8.81640625" style="186" customWidth="1"/>
    <col min="21" max="21" width="17.08984375" style="206" customWidth="1"/>
    <col min="22" max="27" width="16" style="174" customWidth="1"/>
    <col min="28" max="28" width="14.36328125" style="182" bestFit="1" customWidth="1"/>
    <col min="29" max="29" width="1.81640625" style="174" bestFit="1" customWidth="1"/>
    <col min="30" max="30" width="16" style="174" customWidth="1"/>
    <col min="31" max="16384" width="9.08984375" style="174"/>
  </cols>
  <sheetData>
    <row r="1" spans="1:30" x14ac:dyDescent="0.4">
      <c r="B1" s="175" t="s">
        <v>22</v>
      </c>
      <c r="C1" s="175"/>
      <c r="D1" s="175"/>
      <c r="E1" s="175"/>
      <c r="F1" s="175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51"/>
      <c r="AC1" s="2"/>
      <c r="AD1" s="2"/>
    </row>
    <row r="2" spans="1:30" s="176" customFormat="1" ht="35.25" customHeight="1" x14ac:dyDescent="0.35">
      <c r="B2" s="330" t="s">
        <v>23</v>
      </c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  <c r="P2" s="330"/>
      <c r="Q2" s="330"/>
      <c r="R2" s="330"/>
      <c r="S2" s="330"/>
      <c r="T2" s="330"/>
      <c r="U2" s="330"/>
      <c r="V2" s="330"/>
      <c r="W2" s="330"/>
      <c r="X2" s="330"/>
      <c r="Y2" s="330"/>
      <c r="Z2" s="330"/>
      <c r="AA2" s="330"/>
      <c r="AB2" s="330"/>
      <c r="AC2" s="166"/>
      <c r="AD2" s="166"/>
    </row>
    <row r="3" spans="1:30" ht="19.5" x14ac:dyDescent="0.45">
      <c r="A3" s="176"/>
      <c r="B3" s="167" t="s">
        <v>24</v>
      </c>
      <c r="C3" s="177" t="s">
        <v>511</v>
      </c>
      <c r="D3" s="173" t="str">
        <f>VLOOKUP(C3,'CUSTOMER LIST'!B2:C8,2,FALSE)</f>
        <v>CUST00033</v>
      </c>
      <c r="E3" s="3"/>
      <c r="F3" s="3"/>
      <c r="H3" s="4" t="s">
        <v>25</v>
      </c>
      <c r="I3" s="178"/>
      <c r="J3" s="179"/>
      <c r="K3" s="174"/>
      <c r="L3" s="174"/>
      <c r="M3" s="174"/>
      <c r="N3" s="5"/>
      <c r="O3" s="6"/>
      <c r="P3" s="6"/>
      <c r="Q3" s="6"/>
      <c r="R3" s="6"/>
      <c r="S3" s="6"/>
      <c r="T3" s="6"/>
      <c r="U3" s="80"/>
      <c r="V3" s="7" t="s">
        <v>26</v>
      </c>
      <c r="W3" s="52"/>
      <c r="X3" s="7"/>
      <c r="Y3" s="7"/>
      <c r="Z3" s="7"/>
      <c r="AB3" s="7" t="s">
        <v>833</v>
      </c>
      <c r="AC3" s="3" t="s">
        <v>27</v>
      </c>
      <c r="AD3" s="7"/>
    </row>
    <row r="4" spans="1:30" ht="20" thickBot="1" x14ac:dyDescent="0.5">
      <c r="B4" s="167" t="s">
        <v>28</v>
      </c>
      <c r="C4" s="180" t="s">
        <v>522</v>
      </c>
      <c r="D4" s="180"/>
      <c r="E4" s="3"/>
      <c r="F4" s="3"/>
      <c r="H4" s="4" t="s">
        <v>29</v>
      </c>
      <c r="I4" s="181"/>
      <c r="J4" s="181"/>
      <c r="K4" s="174"/>
      <c r="L4" s="174"/>
      <c r="M4" s="174"/>
      <c r="N4" s="6"/>
      <c r="O4" s="6"/>
      <c r="P4" s="6"/>
      <c r="Q4" s="6"/>
      <c r="R4" s="6"/>
      <c r="S4" s="6"/>
      <c r="T4" s="6"/>
      <c r="U4" s="174"/>
      <c r="W4" s="182"/>
      <c r="AB4" s="174"/>
    </row>
    <row r="5" spans="1:30" ht="31.5" thickBot="1" x14ac:dyDescent="0.45">
      <c r="B5" s="183" t="s">
        <v>499</v>
      </c>
      <c r="C5" s="219">
        <v>0</v>
      </c>
      <c r="D5" s="184" t="s">
        <v>469</v>
      </c>
      <c r="E5" s="184" t="s">
        <v>470</v>
      </c>
      <c r="F5" s="184" t="s">
        <v>481</v>
      </c>
      <c r="G5" s="184" t="s">
        <v>502</v>
      </c>
      <c r="H5" s="184" t="s">
        <v>503</v>
      </c>
      <c r="I5" s="175"/>
      <c r="J5" s="185"/>
      <c r="K5" s="185"/>
      <c r="M5" s="185"/>
      <c r="N5" s="185"/>
      <c r="O5" s="185"/>
      <c r="P5" s="185"/>
      <c r="Q5" s="185"/>
      <c r="R5" s="185"/>
      <c r="S5" s="185"/>
      <c r="T5" s="185"/>
      <c r="U5" s="3"/>
      <c r="V5" s="175"/>
      <c r="W5" s="175"/>
      <c r="X5" s="175"/>
      <c r="Y5" s="175"/>
      <c r="Z5" s="175"/>
      <c r="AA5" s="175"/>
      <c r="AB5" s="187"/>
      <c r="AC5" s="175"/>
      <c r="AD5" s="175"/>
    </row>
    <row r="6" spans="1:30" ht="18.75" customHeight="1" thickBot="1" x14ac:dyDescent="0.45">
      <c r="A6" s="174" t="s">
        <v>30</v>
      </c>
      <c r="B6" s="139" t="s">
        <v>31</v>
      </c>
      <c r="C6" s="140">
        <f>SUMIF($A:$A,A6,$V:$V)</f>
        <v>0</v>
      </c>
      <c r="D6" s="331">
        <f>IF((C6+C7)&lt;C8,(C6+C7),"Over Weight")</f>
        <v>0</v>
      </c>
      <c r="E6" s="331"/>
      <c r="F6" s="331"/>
      <c r="G6" s="331"/>
      <c r="H6" s="331">
        <f>SUM(Y:Y)</f>
        <v>0</v>
      </c>
      <c r="J6" s="333" t="s">
        <v>33</v>
      </c>
      <c r="K6" s="334"/>
      <c r="L6" s="334"/>
      <c r="M6" s="334"/>
      <c r="N6" s="334"/>
      <c r="O6" s="334"/>
      <c r="P6" s="334"/>
      <c r="Q6" s="334"/>
      <c r="R6" s="334"/>
      <c r="S6" s="334"/>
      <c r="T6" s="334"/>
      <c r="U6" s="335"/>
    </row>
    <row r="7" spans="1:30" ht="19.5" thickBot="1" x14ac:dyDescent="0.45">
      <c r="A7" s="174" t="s">
        <v>34</v>
      </c>
      <c r="B7" s="141" t="s">
        <v>35</v>
      </c>
      <c r="C7" s="142">
        <f>SUMIF($A:$A,A7,$V:$V)</f>
        <v>0</v>
      </c>
      <c r="D7" s="332"/>
      <c r="E7" s="332"/>
      <c r="F7" s="332"/>
      <c r="G7" s="332"/>
      <c r="H7" s="332"/>
      <c r="J7" s="148" t="s">
        <v>36</v>
      </c>
      <c r="K7" s="164" t="s">
        <v>37</v>
      </c>
      <c r="L7" s="152" t="s">
        <v>38</v>
      </c>
      <c r="M7" s="154" t="s">
        <v>39</v>
      </c>
      <c r="N7" s="149" t="s">
        <v>40</v>
      </c>
      <c r="O7" s="156" t="s">
        <v>41</v>
      </c>
      <c r="P7" s="158" t="s">
        <v>42</v>
      </c>
      <c r="Q7" s="160" t="s">
        <v>43</v>
      </c>
      <c r="R7" s="162" t="s">
        <v>359</v>
      </c>
      <c r="S7" s="150" t="s">
        <v>44</v>
      </c>
      <c r="T7" s="151" t="s">
        <v>45</v>
      </c>
      <c r="U7" s="336" t="s">
        <v>46</v>
      </c>
    </row>
    <row r="8" spans="1:30" s="177" customFormat="1" ht="26.25" customHeight="1" thickBot="1" x14ac:dyDescent="0.5">
      <c r="B8" s="188" t="s">
        <v>32</v>
      </c>
      <c r="C8" s="138">
        <v>20000</v>
      </c>
      <c r="D8" s="143"/>
      <c r="E8" s="143"/>
      <c r="F8" s="143"/>
      <c r="G8" s="143"/>
      <c r="H8" s="143"/>
      <c r="I8" s="8"/>
      <c r="J8" s="144" t="s">
        <v>47</v>
      </c>
      <c r="K8" s="165" t="s">
        <v>48</v>
      </c>
      <c r="L8" s="153" t="s">
        <v>49</v>
      </c>
      <c r="M8" s="155" t="s">
        <v>50</v>
      </c>
      <c r="N8" s="145" t="s">
        <v>51</v>
      </c>
      <c r="O8" s="157" t="s">
        <v>52</v>
      </c>
      <c r="P8" s="159" t="s">
        <v>53</v>
      </c>
      <c r="Q8" s="161" t="s">
        <v>54</v>
      </c>
      <c r="R8" s="163" t="s">
        <v>359</v>
      </c>
      <c r="S8" s="146" t="s">
        <v>55</v>
      </c>
      <c r="T8" s="147" t="s">
        <v>45</v>
      </c>
      <c r="U8" s="337"/>
    </row>
    <row r="9" spans="1:30" ht="16.5" customHeight="1" thickBot="1" x14ac:dyDescent="0.3">
      <c r="B9" s="81" t="s">
        <v>56</v>
      </c>
      <c r="C9" s="81" t="s">
        <v>57</v>
      </c>
      <c r="D9" s="81" t="s">
        <v>58</v>
      </c>
      <c r="E9" s="81" t="s">
        <v>59</v>
      </c>
      <c r="F9" s="81" t="s">
        <v>60</v>
      </c>
      <c r="G9" s="9" t="s">
        <v>61</v>
      </c>
      <c r="H9" s="9" t="s">
        <v>62</v>
      </c>
      <c r="I9" s="9" t="s">
        <v>63</v>
      </c>
      <c r="J9" s="207" t="s">
        <v>64</v>
      </c>
      <c r="K9" s="208" t="s">
        <v>358</v>
      </c>
      <c r="L9" s="208" t="s">
        <v>65</v>
      </c>
      <c r="M9" s="208" t="s">
        <v>66</v>
      </c>
      <c r="N9" s="208" t="s">
        <v>14</v>
      </c>
      <c r="O9" s="208" t="s">
        <v>67</v>
      </c>
      <c r="P9" s="208" t="s">
        <v>68</v>
      </c>
      <c r="Q9" s="208" t="s">
        <v>69</v>
      </c>
      <c r="R9" s="208" t="s">
        <v>359</v>
      </c>
      <c r="S9" s="14" t="s">
        <v>70</v>
      </c>
      <c r="T9" s="10" t="s">
        <v>71</v>
      </c>
      <c r="U9" s="11" t="s">
        <v>72</v>
      </c>
      <c r="V9" s="12" t="s">
        <v>73</v>
      </c>
      <c r="W9" s="50" t="s">
        <v>362</v>
      </c>
      <c r="X9" s="241" t="s">
        <v>500</v>
      </c>
      <c r="Y9" s="134" t="s">
        <v>501</v>
      </c>
      <c r="Z9" s="241" t="s">
        <v>504</v>
      </c>
      <c r="AA9" s="134" t="s">
        <v>505</v>
      </c>
      <c r="AB9" s="50" t="s">
        <v>74</v>
      </c>
      <c r="AD9" s="50" t="s">
        <v>60</v>
      </c>
    </row>
    <row r="10" spans="1:30" s="192" customFormat="1" ht="19.5" x14ac:dyDescent="0.45">
      <c r="A10" s="189" t="s">
        <v>30</v>
      </c>
      <c r="B10" s="15">
        <v>1</v>
      </c>
      <c r="C10" s="16" t="s">
        <v>75</v>
      </c>
      <c r="D10" s="16" t="s">
        <v>15</v>
      </c>
      <c r="E10" s="16" t="s">
        <v>16</v>
      </c>
      <c r="F10" s="16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"),AD10,Table1[[#This Row],[Cod No]])</f>
        <v>100</v>
      </c>
      <c r="G10" s="17" t="s">
        <v>76</v>
      </c>
      <c r="H10" s="17" t="s">
        <v>583</v>
      </c>
      <c r="I10" s="17"/>
      <c r="J10" s="257"/>
      <c r="K10" s="257"/>
      <c r="L10" s="257"/>
      <c r="M10" s="257"/>
      <c r="N10" s="257"/>
      <c r="O10" s="257"/>
      <c r="P10" s="257"/>
      <c r="Q10" s="257"/>
      <c r="R10" s="260"/>
      <c r="S10" s="193"/>
      <c r="T10" s="43">
        <f>SUM(Table1[[#This Row],[B]:[Blank]])</f>
        <v>0</v>
      </c>
      <c r="U10" s="114">
        <v>1.05</v>
      </c>
      <c r="V10" s="115">
        <f>U10*T10</f>
        <v>0</v>
      </c>
      <c r="W10" s="191">
        <v>0.81100000000000005</v>
      </c>
      <c r="X10" s="111">
        <f>Table1[[#This Row],[Coil Size]]*Table1[[#This Row],[D10]]/1000*VLOOKUP(Table1[[#This Row],[Navision Code]],'TABULAR PRICE LIST'!A:L,11,FALSE)</f>
        <v>0</v>
      </c>
      <c r="Y10" s="113">
        <f>IFERROR(Table1[[#This Row],[Coil Size]]*Table1[[#This Row],[D10]]/1000*VLOOKUP(Table1[[#This Row],[Navision Code]],'TABULAR PRICE LIST'!A:L,10,FALSE),0)</f>
        <v>0</v>
      </c>
      <c r="Z10" s="111">
        <f>VLOOKUP(C10,'TABULAR PRICE LIST'!$A:$L,12,FALSE)</f>
        <v>163</v>
      </c>
      <c r="AA10" s="113">
        <f>Table1[[#This Row],[Coil Size]]*Table1[[#This Row],[D10]]/1000</f>
        <v>0</v>
      </c>
      <c r="AB10" s="191">
        <f>Table1[[#This Row],[Weight/KYD]]*Table1[[#This Row],[D10]]</f>
        <v>0</v>
      </c>
      <c r="AC10" s="177"/>
      <c r="AD10" s="191">
        <v>100</v>
      </c>
    </row>
    <row r="11" spans="1:30" s="192" customFormat="1" ht="19.5" x14ac:dyDescent="0.45">
      <c r="A11" s="189" t="s">
        <v>30</v>
      </c>
      <c r="B11" s="18">
        <f>B10+1</f>
        <v>2</v>
      </c>
      <c r="C11" s="21" t="s">
        <v>588</v>
      </c>
      <c r="D11" s="19" t="s">
        <v>15</v>
      </c>
      <c r="E11" s="21" t="s">
        <v>16</v>
      </c>
      <c r="F11" s="21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"),AD11,Table1[[#This Row],[Cod No]])</f>
        <v>100</v>
      </c>
      <c r="G11" s="22" t="s">
        <v>76</v>
      </c>
      <c r="H11" s="22" t="s">
        <v>584</v>
      </c>
      <c r="I11" s="20"/>
      <c r="J11" s="231"/>
      <c r="K11" s="231"/>
      <c r="L11" s="231"/>
      <c r="M11" s="231"/>
      <c r="N11" s="231"/>
      <c r="O11" s="231"/>
      <c r="P11" s="231"/>
      <c r="Q11" s="231"/>
      <c r="R11" s="233"/>
      <c r="S11" s="44"/>
      <c r="T11" s="45">
        <f>SUM(Table1[[#This Row],[B]:[Blank]])</f>
        <v>0</v>
      </c>
      <c r="U11" s="116">
        <v>1.73</v>
      </c>
      <c r="V11" s="117">
        <f t="shared" ref="V11:V56" si="0">U11*T11</f>
        <v>0</v>
      </c>
      <c r="W11" s="111">
        <v>1.218</v>
      </c>
      <c r="X11" s="111">
        <f>Table1[[#This Row],[Coil Size]]*Table1[[#This Row],[D10]]/1000*VLOOKUP(Table1[[#This Row],[Navision Code]],'TABULAR PRICE LIST'!A:L,11,FALSE)</f>
        <v>0</v>
      </c>
      <c r="Y11" s="111">
        <f>IFERROR(Table1[[#This Row],[Coil Size]]*Table1[[#This Row],[D10]]/1000*VLOOKUP(Table1[[#This Row],[Navision Code]],'TABULAR PRICE LIST'!A:L,10,FALSE),0)</f>
        <v>0</v>
      </c>
      <c r="Z11" s="202">
        <f>VLOOKUP(C11,'TABULAR PRICE LIST'!$A:$L,12,FALSE)</f>
        <v>237</v>
      </c>
      <c r="AA11" s="111">
        <f>Table1[[#This Row],[Coil Size]]*Table1[[#This Row],[D10]]/1000</f>
        <v>0</v>
      </c>
      <c r="AB11" s="111">
        <f>Table1[[#This Row],[Weight/KYD]]*Table1[[#This Row],[D10]]</f>
        <v>0</v>
      </c>
      <c r="AC11" s="177"/>
      <c r="AD11" s="111">
        <v>100</v>
      </c>
    </row>
    <row r="12" spans="1:30" s="192" customFormat="1" ht="19.5" x14ac:dyDescent="0.45">
      <c r="A12" s="189" t="s">
        <v>30</v>
      </c>
      <c r="B12" s="18">
        <f t="shared" ref="B12:B76" si="1">B11+1</f>
        <v>3</v>
      </c>
      <c r="C12" s="21" t="s">
        <v>524</v>
      </c>
      <c r="D12" s="19" t="s">
        <v>15</v>
      </c>
      <c r="E12" s="19" t="s">
        <v>16</v>
      </c>
      <c r="F12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"),AD12,Table1[[#This Row],[Cod No]])</f>
        <v>100</v>
      </c>
      <c r="G12" s="22" t="s">
        <v>76</v>
      </c>
      <c r="H12" s="22" t="s">
        <v>523</v>
      </c>
      <c r="I12" s="20"/>
      <c r="J12" s="233"/>
      <c r="K12" s="233"/>
      <c r="L12" s="233"/>
      <c r="M12" s="233"/>
      <c r="N12" s="233"/>
      <c r="O12" s="233"/>
      <c r="P12" s="233"/>
      <c r="Q12" s="233"/>
      <c r="R12" s="233"/>
      <c r="S12" s="44"/>
      <c r="T12" s="45">
        <f>SUM(Table1[[#This Row],[B]:[Blank]])</f>
        <v>0</v>
      </c>
      <c r="U12" s="116">
        <v>1.96</v>
      </c>
      <c r="V12" s="117">
        <f t="shared" si="0"/>
        <v>0</v>
      </c>
      <c r="W12" s="111">
        <v>1.6309999999999998</v>
      </c>
      <c r="X12" s="111">
        <f>Table1[[#This Row],[Coil Size]]*Table1[[#This Row],[D10]]/1000*VLOOKUP(Table1[[#This Row],[Navision Code]],'TABULAR PRICE LIST'!A:L,11,FALSE)</f>
        <v>0</v>
      </c>
      <c r="Y12" s="111">
        <f>IFERROR(Table1[[#This Row],[Coil Size]]*Table1[[#This Row],[D10]]/1000*VLOOKUP(Table1[[#This Row],[Navision Code]],'TABULAR PRICE LIST'!A:L,10,FALSE),0)</f>
        <v>0</v>
      </c>
      <c r="Z12" s="111">
        <f>VLOOKUP(C12,'TABULAR PRICE LIST'!$A:$L,12,FALSE)</f>
        <v>276</v>
      </c>
      <c r="AA12" s="111">
        <f>Table1[[#This Row],[Coil Size]]*Table1[[#This Row],[D10]]/1000</f>
        <v>0</v>
      </c>
      <c r="AB12" s="111">
        <f>Table1[[#This Row],[Weight/KYD]]*Table1[[#This Row],[D10]]</f>
        <v>0</v>
      </c>
      <c r="AC12" s="177"/>
      <c r="AD12" s="111">
        <v>100</v>
      </c>
    </row>
    <row r="13" spans="1:30" s="192" customFormat="1" ht="19.5" x14ac:dyDescent="0.45">
      <c r="A13" s="189" t="s">
        <v>30</v>
      </c>
      <c r="B13" s="18">
        <f t="shared" si="1"/>
        <v>4</v>
      </c>
      <c r="C13" s="21" t="s">
        <v>589</v>
      </c>
      <c r="D13" s="19" t="s">
        <v>15</v>
      </c>
      <c r="E13" s="19" t="s">
        <v>16</v>
      </c>
      <c r="F13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"),AD13,Table1[[#This Row],[Cod No]])</f>
        <v>100</v>
      </c>
      <c r="G13" s="22" t="s">
        <v>76</v>
      </c>
      <c r="H13" s="22" t="s">
        <v>585</v>
      </c>
      <c r="I13" s="20"/>
      <c r="J13" s="230"/>
      <c r="K13" s="230"/>
      <c r="L13" s="230"/>
      <c r="M13" s="230"/>
      <c r="N13" s="230"/>
      <c r="O13" s="230"/>
      <c r="P13" s="230"/>
      <c r="Q13" s="230"/>
      <c r="R13" s="233"/>
      <c r="S13" s="44"/>
      <c r="T13" s="45">
        <f>SUM(Table1[[#This Row],[B]:[Blank]])</f>
        <v>0</v>
      </c>
      <c r="U13" s="116">
        <v>2.62</v>
      </c>
      <c r="V13" s="117">
        <f t="shared" si="0"/>
        <v>0</v>
      </c>
      <c r="W13" s="111">
        <v>1.929</v>
      </c>
      <c r="X13" s="111">
        <f>Table1[[#This Row],[Coil Size]]*Table1[[#This Row],[D10]]/1000*VLOOKUP(Table1[[#This Row],[Navision Code]],'TABULAR PRICE LIST'!A:L,11,FALSE)</f>
        <v>0</v>
      </c>
      <c r="Y13" s="111">
        <f>IFERROR(Table1[[#This Row],[Coil Size]]*Table1[[#This Row],[D10]]/1000*VLOOKUP(Table1[[#This Row],[Navision Code]],'TABULAR PRICE LIST'!A:L,10,FALSE),0)</f>
        <v>0</v>
      </c>
      <c r="Z13" s="111">
        <f>VLOOKUP(C13,'TABULAR PRICE LIST'!$A:$L,12,FALSE)</f>
        <v>371</v>
      </c>
      <c r="AA13" s="111">
        <f>Table1[[#This Row],[Coil Size]]*Table1[[#This Row],[D10]]/1000</f>
        <v>0</v>
      </c>
      <c r="AB13" s="111">
        <f>Table1[[#This Row],[Weight/KYD]]*Table1[[#This Row],[D10]]</f>
        <v>0</v>
      </c>
      <c r="AC13" s="177"/>
      <c r="AD13" s="111">
        <v>100</v>
      </c>
    </row>
    <row r="14" spans="1:30" s="192" customFormat="1" ht="19.5" x14ac:dyDescent="0.45">
      <c r="A14" s="189" t="s">
        <v>30</v>
      </c>
      <c r="B14" s="18">
        <f t="shared" si="1"/>
        <v>5</v>
      </c>
      <c r="C14" s="21" t="s">
        <v>525</v>
      </c>
      <c r="D14" s="19" t="s">
        <v>15</v>
      </c>
      <c r="E14" s="19" t="s">
        <v>16</v>
      </c>
      <c r="F14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"),AD14,Table1[[#This Row],[Cod No]])</f>
        <v>100</v>
      </c>
      <c r="G14" s="22" t="s">
        <v>76</v>
      </c>
      <c r="H14" s="22" t="s">
        <v>526</v>
      </c>
      <c r="I14" s="20"/>
      <c r="J14" s="234"/>
      <c r="K14" s="234"/>
      <c r="L14" s="234"/>
      <c r="M14" s="234"/>
      <c r="N14" s="234"/>
      <c r="O14" s="234"/>
      <c r="P14" s="234"/>
      <c r="Q14" s="234"/>
      <c r="R14" s="233"/>
      <c r="S14" s="44"/>
      <c r="T14" s="45">
        <f>SUM(Table1[[#This Row],[B]:[Blank]])</f>
        <v>0</v>
      </c>
      <c r="U14" s="116">
        <v>2.81</v>
      </c>
      <c r="V14" s="117">
        <f>U14*T14</f>
        <v>0</v>
      </c>
      <c r="W14" s="111">
        <v>2.3759999999999999</v>
      </c>
      <c r="X14" s="111">
        <f>Table1[[#This Row],[Coil Size]]*Table1[[#This Row],[D10]]/1000*VLOOKUP(Table1[[#This Row],[Navision Code]],'TABULAR PRICE LIST'!A:L,11,FALSE)</f>
        <v>0</v>
      </c>
      <c r="Y14" s="111">
        <f>IFERROR(Table1[[#This Row],[Coil Size]]*Table1[[#This Row],[D10]]/1000*VLOOKUP(Table1[[#This Row],[Navision Code]],'TABULAR PRICE LIST'!A:L,10,FALSE),0)</f>
        <v>0</v>
      </c>
      <c r="Z14" s="111">
        <f>VLOOKUP(C14,'TABULAR PRICE LIST'!$A:$L,12,FALSE)</f>
        <v>425</v>
      </c>
      <c r="AA14" s="111">
        <f>Table1[[#This Row],[Coil Size]]*Table1[[#This Row],[D10]]/1000</f>
        <v>0</v>
      </c>
      <c r="AB14" s="111">
        <f>Table1[[#This Row],[Weight/KYD]]*Table1[[#This Row],[D10]]</f>
        <v>0</v>
      </c>
      <c r="AC14" s="177"/>
      <c r="AD14" s="111">
        <v>100</v>
      </c>
    </row>
    <row r="15" spans="1:30" s="192" customFormat="1" ht="19.5" x14ac:dyDescent="0.45">
      <c r="A15" s="189" t="s">
        <v>30</v>
      </c>
      <c r="B15" s="18">
        <f t="shared" si="1"/>
        <v>6</v>
      </c>
      <c r="C15" s="21" t="s">
        <v>527</v>
      </c>
      <c r="D15" s="19" t="s">
        <v>15</v>
      </c>
      <c r="E15" s="19" t="s">
        <v>16</v>
      </c>
      <c r="F15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"),AD15,Table1[[#This Row],[Cod No]])</f>
        <v>100</v>
      </c>
      <c r="G15" s="22" t="s">
        <v>76</v>
      </c>
      <c r="H15" s="22" t="s">
        <v>586</v>
      </c>
      <c r="I15" s="20"/>
      <c r="J15" s="234"/>
      <c r="K15" s="234"/>
      <c r="L15" s="234"/>
      <c r="M15" s="234"/>
      <c r="N15" s="234"/>
      <c r="O15" s="234"/>
      <c r="P15" s="234"/>
      <c r="Q15" s="234"/>
      <c r="R15" s="233"/>
      <c r="S15" s="44"/>
      <c r="T15" s="45">
        <f>SUM(Table1[[#This Row],[B]:[Blank]])</f>
        <v>0</v>
      </c>
      <c r="U15" s="116">
        <v>3.49</v>
      </c>
      <c r="V15" s="117">
        <f t="shared" si="0"/>
        <v>0</v>
      </c>
      <c r="W15" s="111">
        <v>3.0939999999999999</v>
      </c>
      <c r="X15" s="111">
        <f>Table1[[#This Row],[Coil Size]]*Table1[[#This Row],[D10]]/1000*VLOOKUP(Table1[[#This Row],[Navision Code]],'TABULAR PRICE LIST'!A:L,11,FALSE)</f>
        <v>0</v>
      </c>
      <c r="Y15" s="111">
        <f>IFERROR(Table1[[#This Row],[Coil Size]]*Table1[[#This Row],[D10]]/1000*VLOOKUP(Table1[[#This Row],[Navision Code]],'TABULAR PRICE LIST'!A:L,10,FALSE),0)</f>
        <v>0</v>
      </c>
      <c r="Z15" s="111">
        <f>VLOOKUP(C15,'TABULAR PRICE LIST'!$A:$L,12,FALSE)</f>
        <v>499</v>
      </c>
      <c r="AA15" s="111">
        <f>Table1[[#This Row],[Coil Size]]*Table1[[#This Row],[D10]]/1000</f>
        <v>0</v>
      </c>
      <c r="AB15" s="111">
        <f>Table1[[#This Row],[Weight/KYD]]*Table1[[#This Row],[D10]]</f>
        <v>0</v>
      </c>
      <c r="AC15" s="177"/>
      <c r="AD15" s="111">
        <v>100</v>
      </c>
    </row>
    <row r="16" spans="1:30" s="192" customFormat="1" ht="19.5" x14ac:dyDescent="0.45">
      <c r="A16" s="189" t="s">
        <v>30</v>
      </c>
      <c r="B16" s="18">
        <f t="shared" si="1"/>
        <v>7</v>
      </c>
      <c r="C16" s="21" t="s">
        <v>528</v>
      </c>
      <c r="D16" s="19" t="s">
        <v>15</v>
      </c>
      <c r="E16" s="19" t="s">
        <v>16</v>
      </c>
      <c r="F16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"),AD16,Table1[[#This Row],[Cod No]])</f>
        <v>100</v>
      </c>
      <c r="G16" s="22" t="s">
        <v>76</v>
      </c>
      <c r="H16" s="22" t="s">
        <v>529</v>
      </c>
      <c r="I16" s="20"/>
      <c r="J16" s="230"/>
      <c r="K16" s="230"/>
      <c r="L16" s="230"/>
      <c r="M16" s="230"/>
      <c r="N16" s="230"/>
      <c r="O16" s="230"/>
      <c r="P16" s="230"/>
      <c r="Q16" s="230"/>
      <c r="R16" s="233"/>
      <c r="S16" s="44"/>
      <c r="T16" s="45">
        <f>SUM(Table1[[#This Row],[B]:[Blank]])</f>
        <v>0</v>
      </c>
      <c r="U16" s="116">
        <v>4.4800000000000004</v>
      </c>
      <c r="V16" s="117">
        <f t="shared" si="0"/>
        <v>0</v>
      </c>
      <c r="W16" s="111">
        <v>4.6159999999999997</v>
      </c>
      <c r="X16" s="111">
        <f>Table1[[#This Row],[Coil Size]]*Table1[[#This Row],[D10]]/1000*VLOOKUP(Table1[[#This Row],[Navision Code]],'TABULAR PRICE LIST'!A:L,11,FALSE)</f>
        <v>0</v>
      </c>
      <c r="Y16" s="111">
        <f>IFERROR(Table1[[#This Row],[Coil Size]]*Table1[[#This Row],[D10]]/1000*VLOOKUP(Table1[[#This Row],[Navision Code]],'TABULAR PRICE LIST'!A:L,10,FALSE),0)</f>
        <v>0</v>
      </c>
      <c r="Z16" s="111">
        <f>VLOOKUP(C16,'TABULAR PRICE LIST'!$A:$L,12,FALSE)</f>
        <v>666</v>
      </c>
      <c r="AA16" s="111">
        <f>Table1[[#This Row],[Coil Size]]*Table1[[#This Row],[D10]]/1000</f>
        <v>0</v>
      </c>
      <c r="AB16" s="111">
        <f>Table1[[#This Row],[Weight/KYD]]*Table1[[#This Row],[D10]]</f>
        <v>0</v>
      </c>
      <c r="AC16" s="177"/>
      <c r="AD16" s="111">
        <v>100</v>
      </c>
    </row>
    <row r="17" spans="1:30" s="192" customFormat="1" ht="19.5" x14ac:dyDescent="0.45">
      <c r="A17" s="189" t="s">
        <v>30</v>
      </c>
      <c r="B17" s="18">
        <f t="shared" si="1"/>
        <v>8</v>
      </c>
      <c r="C17" s="21" t="s">
        <v>530</v>
      </c>
      <c r="D17" s="19" t="s">
        <v>15</v>
      </c>
      <c r="E17" s="19" t="s">
        <v>16</v>
      </c>
      <c r="F17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"),AD17,Table1[[#This Row],[Cod No]])</f>
        <v>100</v>
      </c>
      <c r="G17" s="22" t="s">
        <v>76</v>
      </c>
      <c r="H17" s="22" t="s">
        <v>587</v>
      </c>
      <c r="I17" s="20"/>
      <c r="J17" s="233"/>
      <c r="K17" s="233"/>
      <c r="L17" s="233"/>
      <c r="M17" s="233"/>
      <c r="N17" s="233"/>
      <c r="O17" s="233"/>
      <c r="P17" s="233"/>
      <c r="Q17" s="233"/>
      <c r="R17" s="233"/>
      <c r="S17" s="44"/>
      <c r="T17" s="45">
        <f>SUM(Table1[[#This Row],[B]:[Blank]])</f>
        <v>0</v>
      </c>
      <c r="U17" s="116">
        <v>6.08</v>
      </c>
      <c r="V17" s="117">
        <f t="shared" si="0"/>
        <v>0</v>
      </c>
      <c r="W17" s="111">
        <v>7.7370000000000001</v>
      </c>
      <c r="X17" s="111">
        <f>Table1[[#This Row],[Coil Size]]*Table1[[#This Row],[D10]]/1000*VLOOKUP(Table1[[#This Row],[Navision Code]],'TABULAR PRICE LIST'!A:L,11,FALSE)</f>
        <v>0</v>
      </c>
      <c r="Y17" s="111">
        <f>IFERROR(Table1[[#This Row],[Coil Size]]*Table1[[#This Row],[D10]]/1000*VLOOKUP(Table1[[#This Row],[Navision Code]],'TABULAR PRICE LIST'!A:L,10,FALSE),0)</f>
        <v>0</v>
      </c>
      <c r="Z17" s="111">
        <f>VLOOKUP(C17,'TABULAR PRICE LIST'!$A:$L,12,FALSE)</f>
        <v>984</v>
      </c>
      <c r="AA17" s="111">
        <f>Table1[[#This Row],[Coil Size]]*Table1[[#This Row],[D10]]/1000</f>
        <v>0</v>
      </c>
      <c r="AB17" s="111">
        <f>Table1[[#This Row],[Weight/KYD]]*Table1[[#This Row],[D10]]</f>
        <v>0</v>
      </c>
      <c r="AC17" s="177"/>
      <c r="AD17" s="111">
        <v>100</v>
      </c>
    </row>
    <row r="18" spans="1:30" s="192" customFormat="1" ht="19.5" x14ac:dyDescent="0.45">
      <c r="A18" s="189" t="s">
        <v>30</v>
      </c>
      <c r="B18" s="18">
        <f t="shared" si="1"/>
        <v>9</v>
      </c>
      <c r="C18" s="19" t="s">
        <v>77</v>
      </c>
      <c r="D18" s="19" t="s">
        <v>15</v>
      </c>
      <c r="E18" s="19" t="s">
        <v>16</v>
      </c>
      <c r="F18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"),AD18,Table1[[#This Row],[Cod No]])</f>
        <v>100</v>
      </c>
      <c r="G18" s="22" t="s">
        <v>76</v>
      </c>
      <c r="H18" s="20">
        <v>10</v>
      </c>
      <c r="I18" s="20"/>
      <c r="J18" s="230"/>
      <c r="K18" s="299"/>
      <c r="L18" s="299"/>
      <c r="M18" s="299"/>
      <c r="N18" s="230"/>
      <c r="O18" s="230"/>
      <c r="P18" s="230"/>
      <c r="Q18" s="230"/>
      <c r="R18" s="233"/>
      <c r="S18" s="193"/>
      <c r="T18" s="45">
        <f>SUM(Table1[[#This Row],[B]:[Blank]])</f>
        <v>0</v>
      </c>
      <c r="U18" s="116">
        <v>10.51</v>
      </c>
      <c r="V18" s="118">
        <f t="shared" si="0"/>
        <v>0</v>
      </c>
      <c r="W18" s="111">
        <v>12.339</v>
      </c>
      <c r="X18" s="111">
        <f>Table1[[#This Row],[Coil Size]]*Table1[[#This Row],[D10]]/1000*VLOOKUP(Table1[[#This Row],[Navision Code]],'TABULAR PRICE LIST'!A:L,11,FALSE)</f>
        <v>0</v>
      </c>
      <c r="Y18" s="111">
        <f>IFERROR(Table1[[#This Row],[Coil Size]]*Table1[[#This Row],[D10]]/1000*VLOOKUP(Table1[[#This Row],[Navision Code]],'TABULAR PRICE LIST'!A:L,10,FALSE),0)</f>
        <v>0</v>
      </c>
      <c r="Z18" s="111">
        <f>VLOOKUP(C18,'TABULAR PRICE LIST'!$A:$L,12,FALSE)</f>
        <v>1687</v>
      </c>
      <c r="AA18" s="111">
        <f>Table1[[#This Row],[Coil Size]]*Table1[[#This Row],[D10]]/1000</f>
        <v>0</v>
      </c>
      <c r="AB18" s="111">
        <f>Table1[[#This Row],[Weight/KYD]]*Table1[[#This Row],[D10]]</f>
        <v>0</v>
      </c>
      <c r="AC18" s="177"/>
      <c r="AD18" s="111">
        <v>100</v>
      </c>
    </row>
    <row r="19" spans="1:30" s="192" customFormat="1" ht="19.5" x14ac:dyDescent="0.45">
      <c r="A19" s="189" t="s">
        <v>30</v>
      </c>
      <c r="B19" s="18">
        <f t="shared" si="1"/>
        <v>10</v>
      </c>
      <c r="C19" s="19" t="s">
        <v>17</v>
      </c>
      <c r="D19" s="19" t="s">
        <v>15</v>
      </c>
      <c r="E19" s="19" t="s">
        <v>16</v>
      </c>
      <c r="F19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"),AD19,Table1[[#This Row],[Cod No]])</f>
        <v>100</v>
      </c>
      <c r="G19" s="20" t="s">
        <v>76</v>
      </c>
      <c r="H19" s="20">
        <v>16</v>
      </c>
      <c r="I19" s="20"/>
      <c r="J19" s="233"/>
      <c r="K19" s="233"/>
      <c r="L19" s="233"/>
      <c r="M19" s="233"/>
      <c r="N19" s="233"/>
      <c r="O19" s="233"/>
      <c r="P19" s="233"/>
      <c r="Q19" s="233"/>
      <c r="R19" s="233"/>
      <c r="S19" s="193"/>
      <c r="T19" s="49">
        <f>SUM(Table1[[#This Row],[B]:[Blank]])</f>
        <v>0</v>
      </c>
      <c r="U19" s="116">
        <v>15.28</v>
      </c>
      <c r="V19" s="118">
        <f t="shared" si="0"/>
        <v>0</v>
      </c>
      <c r="W19" s="111">
        <v>19.468</v>
      </c>
      <c r="X19" s="111">
        <f>Table1[[#This Row],[Coil Size]]*Table1[[#This Row],[D10]]/1000*VLOOKUP(Table1[[#This Row],[Navision Code]],'TABULAR PRICE LIST'!A:L,11,FALSE)</f>
        <v>0</v>
      </c>
      <c r="Y19" s="111">
        <f>IFERROR(Table1[[#This Row],[Coil Size]]*Table1[[#This Row],[D10]]/1000*VLOOKUP(Table1[[#This Row],[Navision Code]],'TABULAR PRICE LIST'!A:L,10,FALSE),0)</f>
        <v>0</v>
      </c>
      <c r="Z19" s="111">
        <f>VLOOKUP(C19,'TABULAR PRICE LIST'!$A:$L,12,FALSE)</f>
        <v>2753</v>
      </c>
      <c r="AA19" s="111">
        <f>Table1[[#This Row],[Coil Size]]*Table1[[#This Row],[D10]]/1000</f>
        <v>0</v>
      </c>
      <c r="AB19" s="111">
        <f>Table1[[#This Row],[Weight/KYD]]*Table1[[#This Row],[D10]]</f>
        <v>0</v>
      </c>
      <c r="AC19" s="177"/>
      <c r="AD19" s="111">
        <v>100</v>
      </c>
    </row>
    <row r="20" spans="1:30" s="192" customFormat="1" ht="19.5" x14ac:dyDescent="0.45">
      <c r="A20" s="189" t="s">
        <v>30</v>
      </c>
      <c r="B20" s="18">
        <f t="shared" si="1"/>
        <v>11</v>
      </c>
      <c r="C20" s="19" t="s">
        <v>81</v>
      </c>
      <c r="D20" s="19" t="s">
        <v>15</v>
      </c>
      <c r="E20" s="19" t="s">
        <v>16</v>
      </c>
      <c r="F20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"),AD20,Table1[[#This Row],[Cod No]])</f>
        <v>100</v>
      </c>
      <c r="G20" s="20" t="s">
        <v>80</v>
      </c>
      <c r="H20" s="20">
        <v>1</v>
      </c>
      <c r="I20" s="20"/>
      <c r="J20" s="231"/>
      <c r="K20" s="231"/>
      <c r="L20" s="231"/>
      <c r="M20" s="231"/>
      <c r="N20" s="231"/>
      <c r="O20" s="231"/>
      <c r="P20" s="231"/>
      <c r="Q20" s="231"/>
      <c r="R20" s="233"/>
      <c r="S20" s="193"/>
      <c r="T20" s="45">
        <f>SUM(Table1[[#This Row],[B]:[Blank]])</f>
        <v>0</v>
      </c>
      <c r="U20" s="116">
        <v>1.212</v>
      </c>
      <c r="V20" s="118">
        <f t="shared" si="0"/>
        <v>0</v>
      </c>
      <c r="W20" s="111">
        <v>1.212</v>
      </c>
      <c r="X20" s="111">
        <f>Table1[[#This Row],[Coil Size]]*Table1[[#This Row],[D10]]/1000*VLOOKUP(Table1[[#This Row],[Navision Code]],'TABULAR PRICE LIST'!A:L,11,FALSE)</f>
        <v>0</v>
      </c>
      <c r="Y20" s="111">
        <f>IFERROR(Table1[[#This Row],[Coil Size]]*Table1[[#This Row],[D10]]/1000*VLOOKUP(Table1[[#This Row],[Navision Code]],'TABULAR PRICE LIST'!A:L,10,FALSE),0)</f>
        <v>0</v>
      </c>
      <c r="Z20" s="111">
        <f>VLOOKUP(C20,'TABULAR PRICE LIST'!$A:$L,12,FALSE)</f>
        <v>217</v>
      </c>
      <c r="AA20" s="111">
        <f>Table1[[#This Row],[Coil Size]]*Table1[[#This Row],[D10]]/1000</f>
        <v>0</v>
      </c>
      <c r="AB20" s="111">
        <f>Table1[[#This Row],[Weight/KYD]]*Table1[[#This Row],[D10]]</f>
        <v>0</v>
      </c>
      <c r="AC20" s="177"/>
      <c r="AD20" s="111">
        <v>100</v>
      </c>
    </row>
    <row r="21" spans="1:30" s="192" customFormat="1" ht="19.5" x14ac:dyDescent="0.45">
      <c r="A21" s="189" t="s">
        <v>30</v>
      </c>
      <c r="B21" s="18">
        <f t="shared" si="1"/>
        <v>12</v>
      </c>
      <c r="C21" s="19" t="s">
        <v>82</v>
      </c>
      <c r="D21" s="19" t="s">
        <v>15</v>
      </c>
      <c r="E21" s="19" t="s">
        <v>16</v>
      </c>
      <c r="F21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"),AD21,Table1[[#This Row],[Cod No]])</f>
        <v>100</v>
      </c>
      <c r="G21" s="20" t="s">
        <v>80</v>
      </c>
      <c r="H21" s="20">
        <v>1.5</v>
      </c>
      <c r="I21" s="20"/>
      <c r="J21" s="233"/>
      <c r="K21" s="233"/>
      <c r="L21" s="233"/>
      <c r="M21" s="233"/>
      <c r="N21" s="233"/>
      <c r="O21" s="233"/>
      <c r="P21" s="233"/>
      <c r="Q21" s="233"/>
      <c r="R21" s="233"/>
      <c r="S21" s="193"/>
      <c r="T21" s="45">
        <f>SUM(Table1[[#This Row],[B]:[Blank]])</f>
        <v>0</v>
      </c>
      <c r="U21" s="116">
        <v>1.635</v>
      </c>
      <c r="V21" s="118">
        <f t="shared" si="0"/>
        <v>0</v>
      </c>
      <c r="W21" s="111">
        <v>1.635</v>
      </c>
      <c r="X21" s="111">
        <f>Table1[[#This Row],[Coil Size]]*Table1[[#This Row],[D10]]/1000*VLOOKUP(Table1[[#This Row],[Navision Code]],'TABULAR PRICE LIST'!A:L,11,FALSE)</f>
        <v>0</v>
      </c>
      <c r="Y21" s="111">
        <f>IFERROR(Table1[[#This Row],[Coil Size]]*Table1[[#This Row],[D10]]/1000*VLOOKUP(Table1[[#This Row],[Navision Code]],'TABULAR PRICE LIST'!A:L,10,FALSE),0)</f>
        <v>0</v>
      </c>
      <c r="Z21" s="111">
        <f>VLOOKUP(C21,'TABULAR PRICE LIST'!$A:$L,12,FALSE)</f>
        <v>300</v>
      </c>
      <c r="AA21" s="111">
        <f>Table1[[#This Row],[Coil Size]]*Table1[[#This Row],[D10]]/1000</f>
        <v>0</v>
      </c>
      <c r="AB21" s="111">
        <f>Table1[[#This Row],[Weight/KYD]]*Table1[[#This Row],[D10]]</f>
        <v>0</v>
      </c>
      <c r="AC21" s="177"/>
      <c r="AD21" s="111">
        <v>100</v>
      </c>
    </row>
    <row r="22" spans="1:30" s="192" customFormat="1" ht="19.5" x14ac:dyDescent="0.45">
      <c r="A22" s="189" t="s">
        <v>30</v>
      </c>
      <c r="B22" s="18">
        <f t="shared" si="1"/>
        <v>13</v>
      </c>
      <c r="C22" s="19" t="s">
        <v>83</v>
      </c>
      <c r="D22" s="19" t="s">
        <v>15</v>
      </c>
      <c r="E22" s="19" t="s">
        <v>16</v>
      </c>
      <c r="F22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"),AD22,Table1[[#This Row],[Cod No]])</f>
        <v>100</v>
      </c>
      <c r="G22" s="20" t="s">
        <v>80</v>
      </c>
      <c r="H22" s="20">
        <v>2</v>
      </c>
      <c r="I22" s="20"/>
      <c r="J22" s="230"/>
      <c r="K22" s="230"/>
      <c r="L22" s="230"/>
      <c r="M22" s="230"/>
      <c r="N22" s="230"/>
      <c r="O22" s="230"/>
      <c r="P22" s="230"/>
      <c r="Q22" s="230"/>
      <c r="R22" s="233"/>
      <c r="S22" s="193"/>
      <c r="T22" s="45">
        <f>SUM(Table1[[#This Row],[B]:[Blank]])</f>
        <v>0</v>
      </c>
      <c r="U22" s="116">
        <v>2.3620000000000001</v>
      </c>
      <c r="V22" s="118">
        <f t="shared" si="0"/>
        <v>0</v>
      </c>
      <c r="W22" s="111">
        <v>2.3620000000000001</v>
      </c>
      <c r="X22" s="111">
        <f>Table1[[#This Row],[Coil Size]]*Table1[[#This Row],[D10]]/1000*VLOOKUP(Table1[[#This Row],[Navision Code]],'TABULAR PRICE LIST'!A:L,11,FALSE)</f>
        <v>0</v>
      </c>
      <c r="Y22" s="111">
        <f>IFERROR(Table1[[#This Row],[Coil Size]]*Table1[[#This Row],[D10]]/1000*VLOOKUP(Table1[[#This Row],[Navision Code]],'TABULAR PRICE LIST'!A:L,10,FALSE),0)</f>
        <v>0</v>
      </c>
      <c r="Z22" s="111">
        <f>VLOOKUP(C22,'TABULAR PRICE LIST'!$A:$L,12,FALSE)</f>
        <v>437</v>
      </c>
      <c r="AA22" s="111">
        <f>Table1[[#This Row],[Coil Size]]*Table1[[#This Row],[D10]]/1000</f>
        <v>0</v>
      </c>
      <c r="AB22" s="111">
        <f>Table1[[#This Row],[Weight/KYD]]*Table1[[#This Row],[D10]]</f>
        <v>0</v>
      </c>
      <c r="AC22" s="177"/>
      <c r="AD22" s="111">
        <v>100</v>
      </c>
    </row>
    <row r="23" spans="1:30" s="192" customFormat="1" ht="19.5" x14ac:dyDescent="0.45">
      <c r="A23" s="189" t="s">
        <v>30</v>
      </c>
      <c r="B23" s="18">
        <f t="shared" si="1"/>
        <v>14</v>
      </c>
      <c r="C23" s="19" t="s">
        <v>84</v>
      </c>
      <c r="D23" s="19" t="s">
        <v>15</v>
      </c>
      <c r="E23" s="19" t="s">
        <v>16</v>
      </c>
      <c r="F23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"),AD23,Table1[[#This Row],[Cod No]])</f>
        <v>100</v>
      </c>
      <c r="G23" s="20" t="s">
        <v>80</v>
      </c>
      <c r="H23" s="20">
        <v>2.5</v>
      </c>
      <c r="I23" s="20"/>
      <c r="J23" s="234"/>
      <c r="K23" s="234"/>
      <c r="L23" s="234"/>
      <c r="M23" s="234"/>
      <c r="N23" s="234"/>
      <c r="O23" s="234"/>
      <c r="P23" s="234"/>
      <c r="Q23" s="234"/>
      <c r="R23" s="233"/>
      <c r="S23" s="193"/>
      <c r="T23" s="45">
        <f>SUM(Table1[[#This Row],[B]:[Blank]])</f>
        <v>0</v>
      </c>
      <c r="U23" s="116">
        <v>2.61</v>
      </c>
      <c r="V23" s="118">
        <f t="shared" si="0"/>
        <v>0</v>
      </c>
      <c r="W23" s="111">
        <v>2.61</v>
      </c>
      <c r="X23" s="111">
        <f>Table1[[#This Row],[Coil Size]]*Table1[[#This Row],[D10]]/1000*VLOOKUP(Table1[[#This Row],[Navision Code]],'TABULAR PRICE LIST'!A:L,11,FALSE)</f>
        <v>0</v>
      </c>
      <c r="Y23" s="111">
        <f>IFERROR(Table1[[#This Row],[Coil Size]]*Table1[[#This Row],[D10]]/1000*VLOOKUP(Table1[[#This Row],[Navision Code]],'TABULAR PRICE LIST'!A:L,10,FALSE),0)</f>
        <v>0</v>
      </c>
      <c r="Z23" s="111">
        <f>VLOOKUP(C23,'TABULAR PRICE LIST'!$A:$L,12,FALSE)</f>
        <v>474</v>
      </c>
      <c r="AA23" s="111">
        <f>Table1[[#This Row],[Coil Size]]*Table1[[#This Row],[D10]]/1000</f>
        <v>0</v>
      </c>
      <c r="AB23" s="111">
        <f>Table1[[#This Row],[Weight/KYD]]*Table1[[#This Row],[D10]]</f>
        <v>0</v>
      </c>
      <c r="AC23" s="177"/>
      <c r="AD23" s="111">
        <v>100</v>
      </c>
    </row>
    <row r="24" spans="1:30" s="192" customFormat="1" ht="19.5" x14ac:dyDescent="0.45">
      <c r="A24" s="189" t="s">
        <v>30</v>
      </c>
      <c r="B24" s="18">
        <f t="shared" si="1"/>
        <v>15</v>
      </c>
      <c r="C24" s="19" t="s">
        <v>20</v>
      </c>
      <c r="D24" s="19" t="s">
        <v>15</v>
      </c>
      <c r="E24" s="19" t="s">
        <v>16</v>
      </c>
      <c r="F24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"),AD24,Table1[[#This Row],[Cod No]])</f>
        <v>100</v>
      </c>
      <c r="G24" s="20" t="s">
        <v>80</v>
      </c>
      <c r="H24" s="20">
        <v>4</v>
      </c>
      <c r="I24" s="20"/>
      <c r="J24" s="269"/>
      <c r="K24" s="230"/>
      <c r="L24" s="230"/>
      <c r="M24" s="230"/>
      <c r="N24" s="230"/>
      <c r="O24" s="230"/>
      <c r="P24" s="230"/>
      <c r="Q24" s="230"/>
      <c r="R24" s="233"/>
      <c r="S24" s="193"/>
      <c r="T24" s="45">
        <f>SUM(Table1[[#This Row],[B]:[Blank]])</f>
        <v>0</v>
      </c>
      <c r="U24" s="116">
        <v>4.077</v>
      </c>
      <c r="V24" s="118">
        <f t="shared" si="0"/>
        <v>0</v>
      </c>
      <c r="W24" s="111">
        <v>4.077</v>
      </c>
      <c r="X24" s="111">
        <f>Table1[[#This Row],[Coil Size]]*Table1[[#This Row],[D10]]/1000*VLOOKUP(Table1[[#This Row],[Navision Code]],'TABULAR PRICE LIST'!A:L,11,FALSE)</f>
        <v>0</v>
      </c>
      <c r="Y24" s="111">
        <f>IFERROR(Table1[[#This Row],[Coil Size]]*Table1[[#This Row],[D10]]/1000*VLOOKUP(Table1[[#This Row],[Navision Code]],'TABULAR PRICE LIST'!A:L,10,FALSE),0)</f>
        <v>0</v>
      </c>
      <c r="Z24" s="111">
        <f>VLOOKUP(C24,'TABULAR PRICE LIST'!$A:$L,12,FALSE)</f>
        <v>743</v>
      </c>
      <c r="AA24" s="111">
        <f>Table1[[#This Row],[Coil Size]]*Table1[[#This Row],[D10]]/1000</f>
        <v>0</v>
      </c>
      <c r="AB24" s="111">
        <f>Table1[[#This Row],[Weight/KYD]]*Table1[[#This Row],[D10]]</f>
        <v>0</v>
      </c>
      <c r="AC24" s="177"/>
      <c r="AD24" s="111">
        <v>100</v>
      </c>
    </row>
    <row r="25" spans="1:30" s="192" customFormat="1" ht="19.5" x14ac:dyDescent="0.45">
      <c r="A25" s="189" t="s">
        <v>30</v>
      </c>
      <c r="B25" s="18">
        <f t="shared" si="1"/>
        <v>16</v>
      </c>
      <c r="C25" s="19" t="s">
        <v>86</v>
      </c>
      <c r="D25" s="19" t="s">
        <v>15</v>
      </c>
      <c r="E25" s="19" t="s">
        <v>16</v>
      </c>
      <c r="F25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"),AD25,Table1[[#This Row],[Cod No]])</f>
        <v>100</v>
      </c>
      <c r="G25" s="20" t="s">
        <v>80</v>
      </c>
      <c r="H25" s="20">
        <v>6</v>
      </c>
      <c r="I25" s="20"/>
      <c r="J25" s="230"/>
      <c r="K25" s="233"/>
      <c r="L25" s="233"/>
      <c r="M25" s="233"/>
      <c r="N25" s="233"/>
      <c r="O25" s="233"/>
      <c r="P25" s="233"/>
      <c r="Q25" s="233"/>
      <c r="R25" s="233"/>
      <c r="S25" s="193"/>
      <c r="T25" s="45">
        <f>SUM(Table1[[#This Row],[B]:[Blank]])</f>
        <v>0</v>
      </c>
      <c r="U25" s="116">
        <v>5.7</v>
      </c>
      <c r="V25" s="118">
        <f t="shared" si="0"/>
        <v>0</v>
      </c>
      <c r="W25" s="111">
        <v>5.7</v>
      </c>
      <c r="X25" s="111">
        <f>Table1[[#This Row],[Coil Size]]*Table1[[#This Row],[D10]]/1000*VLOOKUP(Table1[[#This Row],[Navision Code]],'TABULAR PRICE LIST'!A:L,11,FALSE)</f>
        <v>0</v>
      </c>
      <c r="Y25" s="111">
        <f>IFERROR(Table1[[#This Row],[Coil Size]]*Table1[[#This Row],[D10]]/1000*VLOOKUP(Table1[[#This Row],[Navision Code]],'TABULAR PRICE LIST'!A:L,10,FALSE),0)</f>
        <v>0</v>
      </c>
      <c r="Z25" s="111">
        <f>VLOOKUP(C25,'TABULAR PRICE LIST'!$A:$L,12,FALSE)</f>
        <v>1033</v>
      </c>
      <c r="AA25" s="111">
        <f>Table1[[#This Row],[Coil Size]]*Table1[[#This Row],[D10]]/1000</f>
        <v>0</v>
      </c>
      <c r="AB25" s="111">
        <f>Table1[[#This Row],[Weight/KYD]]*Table1[[#This Row],[D10]]</f>
        <v>0</v>
      </c>
      <c r="AC25" s="177"/>
      <c r="AD25" s="111">
        <v>100</v>
      </c>
    </row>
    <row r="26" spans="1:30" s="192" customFormat="1" ht="19.5" x14ac:dyDescent="0.45">
      <c r="A26" s="189" t="s">
        <v>30</v>
      </c>
      <c r="B26" s="18">
        <f t="shared" si="1"/>
        <v>17</v>
      </c>
      <c r="C26" s="19" t="s">
        <v>87</v>
      </c>
      <c r="D26" s="19" t="s">
        <v>15</v>
      </c>
      <c r="E26" s="19" t="s">
        <v>16</v>
      </c>
      <c r="F26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"),AD26,Table1[[#This Row],[Cod No]])</f>
        <v>100</v>
      </c>
      <c r="G26" s="20" t="s">
        <v>80</v>
      </c>
      <c r="H26" s="20">
        <v>10</v>
      </c>
      <c r="I26" s="20"/>
      <c r="J26" s="230"/>
      <c r="K26" s="230"/>
      <c r="L26" s="230"/>
      <c r="M26" s="299"/>
      <c r="N26" s="230"/>
      <c r="O26" s="230"/>
      <c r="P26" s="230"/>
      <c r="Q26" s="230"/>
      <c r="R26" s="233"/>
      <c r="S26" s="193"/>
      <c r="T26" s="45">
        <f>SUM(Table1[[#This Row],[B]:[Blank]])</f>
        <v>0</v>
      </c>
      <c r="U26" s="116">
        <v>10.177</v>
      </c>
      <c r="V26" s="118">
        <f t="shared" si="0"/>
        <v>0</v>
      </c>
      <c r="W26" s="111">
        <v>10.177</v>
      </c>
      <c r="X26" s="111">
        <f>Table1[[#This Row],[Coil Size]]*Table1[[#This Row],[D10]]/1000*VLOOKUP(Table1[[#This Row],[Navision Code]],'TABULAR PRICE LIST'!A:L,11,FALSE)</f>
        <v>0</v>
      </c>
      <c r="Y26" s="111">
        <f>IFERROR(Table1[[#This Row],[Coil Size]]*Table1[[#This Row],[D10]]/1000*VLOOKUP(Table1[[#This Row],[Navision Code]],'TABULAR PRICE LIST'!A:L,10,FALSE),0)</f>
        <v>0</v>
      </c>
      <c r="Z26" s="111">
        <f>VLOOKUP(C26,'TABULAR PRICE LIST'!$A:$L,12,FALSE)</f>
        <v>1746</v>
      </c>
      <c r="AA26" s="111">
        <f>Table1[[#This Row],[Coil Size]]*Table1[[#This Row],[D10]]/1000</f>
        <v>0</v>
      </c>
      <c r="AB26" s="111">
        <f>Table1[[#This Row],[Weight/KYD]]*Table1[[#This Row],[D10]]</f>
        <v>0</v>
      </c>
      <c r="AC26" s="177"/>
      <c r="AD26" s="111">
        <v>100</v>
      </c>
    </row>
    <row r="27" spans="1:30" s="192" customFormat="1" ht="19.5" x14ac:dyDescent="0.45">
      <c r="A27" s="189" t="s">
        <v>30</v>
      </c>
      <c r="B27" s="18">
        <f t="shared" si="1"/>
        <v>18</v>
      </c>
      <c r="C27" s="19" t="s">
        <v>88</v>
      </c>
      <c r="D27" s="19" t="s">
        <v>15</v>
      </c>
      <c r="E27" s="19" t="s">
        <v>16</v>
      </c>
      <c r="F27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"),AD27,Table1[[#This Row],[Cod No]])</f>
        <v>100</v>
      </c>
      <c r="G27" s="20" t="s">
        <v>80</v>
      </c>
      <c r="H27" s="20">
        <v>16</v>
      </c>
      <c r="I27" s="20"/>
      <c r="J27" s="233"/>
      <c r="K27" s="233"/>
      <c r="L27" s="233"/>
      <c r="M27" s="300"/>
      <c r="N27" s="233"/>
      <c r="O27" s="233"/>
      <c r="P27" s="233"/>
      <c r="Q27" s="233"/>
      <c r="R27" s="233"/>
      <c r="S27" s="193"/>
      <c r="T27" s="45">
        <f>SUM(Table1[[#This Row],[B]:[Blank]])</f>
        <v>0</v>
      </c>
      <c r="U27" s="116">
        <v>15.225</v>
      </c>
      <c r="V27" s="118">
        <f t="shared" si="0"/>
        <v>0</v>
      </c>
      <c r="W27" s="111">
        <v>15.225</v>
      </c>
      <c r="X27" s="111">
        <f>Table1[[#This Row],[Coil Size]]*Table1[[#This Row],[D10]]/1000*VLOOKUP(Table1[[#This Row],[Navision Code]],'TABULAR PRICE LIST'!A:L,11,FALSE)</f>
        <v>0</v>
      </c>
      <c r="Y27" s="111">
        <f>IFERROR(Table1[[#This Row],[Coil Size]]*Table1[[#This Row],[D10]]/1000*VLOOKUP(Table1[[#This Row],[Navision Code]],'TABULAR PRICE LIST'!A:L,10,FALSE),0)</f>
        <v>0</v>
      </c>
      <c r="Z27" s="111">
        <f>VLOOKUP(C27,'TABULAR PRICE LIST'!$A:$L,12,FALSE)</f>
        <v>2787</v>
      </c>
      <c r="AA27" s="111">
        <f>Table1[[#This Row],[Coil Size]]*Table1[[#This Row],[D10]]/1000</f>
        <v>0</v>
      </c>
      <c r="AB27" s="111">
        <f>Table1[[#This Row],[Weight/KYD]]*Table1[[#This Row],[D10]]</f>
        <v>0</v>
      </c>
      <c r="AC27" s="177"/>
      <c r="AD27" s="111">
        <v>100</v>
      </c>
    </row>
    <row r="28" spans="1:30" s="192" customFormat="1" ht="19.5" x14ac:dyDescent="0.45">
      <c r="A28" s="189" t="s">
        <v>30</v>
      </c>
      <c r="B28" s="18">
        <f t="shared" si="1"/>
        <v>19</v>
      </c>
      <c r="C28" s="19" t="s">
        <v>89</v>
      </c>
      <c r="D28" s="19" t="s">
        <v>15</v>
      </c>
      <c r="E28" s="19" t="s">
        <v>16</v>
      </c>
      <c r="F28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"),AD28,Table1[[#This Row],[Cod No]])</f>
        <v>100</v>
      </c>
      <c r="G28" s="20" t="s">
        <v>80</v>
      </c>
      <c r="H28" s="20">
        <v>25</v>
      </c>
      <c r="I28" s="20"/>
      <c r="J28" s="232"/>
      <c r="K28" s="232"/>
      <c r="L28" s="232"/>
      <c r="M28" s="301"/>
      <c r="N28" s="232"/>
      <c r="O28" s="232"/>
      <c r="P28" s="232"/>
      <c r="Q28" s="232"/>
      <c r="R28" s="233"/>
      <c r="S28" s="193"/>
      <c r="T28" s="45">
        <f>SUM(Table1[[#This Row],[B]:[Blank]])</f>
        <v>0</v>
      </c>
      <c r="U28" s="116">
        <v>23.15</v>
      </c>
      <c r="V28" s="118">
        <f t="shared" si="0"/>
        <v>0</v>
      </c>
      <c r="W28" s="111">
        <v>23.15</v>
      </c>
      <c r="X28" s="111">
        <f>Table1[[#This Row],[Coil Size]]*Table1[[#This Row],[D10]]/1000*VLOOKUP(Table1[[#This Row],[Navision Code]],'TABULAR PRICE LIST'!A:L,11,FALSE)</f>
        <v>0</v>
      </c>
      <c r="Y28" s="111">
        <f>IFERROR(Table1[[#This Row],[Coil Size]]*Table1[[#This Row],[D10]]/1000*VLOOKUP(Table1[[#This Row],[Navision Code]],'TABULAR PRICE LIST'!A:L,10,FALSE),0)</f>
        <v>0</v>
      </c>
      <c r="Z28" s="111">
        <f>VLOOKUP(C28,'TABULAR PRICE LIST'!$A:$L,12,FALSE)</f>
        <v>4299</v>
      </c>
      <c r="AA28" s="111">
        <f>Table1[[#This Row],[Coil Size]]*Table1[[#This Row],[D10]]/1000</f>
        <v>0</v>
      </c>
      <c r="AB28" s="111">
        <f>Table1[[#This Row],[Weight/KYD]]*Table1[[#This Row],[D10]]</f>
        <v>0</v>
      </c>
      <c r="AC28" s="177"/>
      <c r="AD28" s="111">
        <v>100</v>
      </c>
    </row>
    <row r="29" spans="1:30" s="192" customFormat="1" ht="20" thickBot="1" x14ac:dyDescent="0.5">
      <c r="A29" s="189" t="s">
        <v>30</v>
      </c>
      <c r="B29" s="18">
        <f t="shared" si="1"/>
        <v>20</v>
      </c>
      <c r="C29" s="24" t="s">
        <v>90</v>
      </c>
      <c r="D29" s="24" t="s">
        <v>15</v>
      </c>
      <c r="E29" s="24" t="s">
        <v>16</v>
      </c>
      <c r="F29" s="24">
        <v>50</v>
      </c>
      <c r="G29" s="25" t="s">
        <v>80</v>
      </c>
      <c r="H29" s="25">
        <v>35</v>
      </c>
      <c r="I29" s="25"/>
      <c r="J29" s="231"/>
      <c r="K29" s="231"/>
      <c r="L29" s="231"/>
      <c r="M29" s="302"/>
      <c r="N29" s="231"/>
      <c r="O29" s="231"/>
      <c r="P29" s="231"/>
      <c r="Q29" s="231"/>
      <c r="R29" s="235"/>
      <c r="S29" s="197"/>
      <c r="T29" s="47">
        <f>SUM(Table1[[#This Row],[B]:[Blank]])</f>
        <v>0</v>
      </c>
      <c r="U29" s="119">
        <v>32.1</v>
      </c>
      <c r="V29" s="120">
        <f t="shared" si="0"/>
        <v>0</v>
      </c>
      <c r="W29" s="112">
        <v>32.1</v>
      </c>
      <c r="X29" s="111">
        <f>Table1[[#This Row],[Coil Size]]*Table1[[#This Row],[D10]]/1000*VLOOKUP(Table1[[#This Row],[Navision Code]],'TABULAR PRICE LIST'!A:L,11,FALSE)</f>
        <v>0</v>
      </c>
      <c r="Y29" s="112">
        <f>IFERROR(Table1[[#This Row],[Coil Size]]*Table1[[#This Row],[D10]]/1000*VLOOKUP(Table1[[#This Row],[Navision Code]],'TABULAR PRICE LIST'!A:L,10,FALSE),0)</f>
        <v>0</v>
      </c>
      <c r="Z29" s="112">
        <f>VLOOKUP(C29,'TABULAR PRICE LIST'!$A:$L,12,FALSE)</f>
        <v>5983</v>
      </c>
      <c r="AA29" s="112">
        <f>Table1[[#This Row],[Coil Size]]*Table1[[#This Row],[D10]]/1000</f>
        <v>0</v>
      </c>
      <c r="AB29" s="112">
        <f>Table1[[#This Row],[Weight/KYD]]*Table1[[#This Row],[D10]]</f>
        <v>0</v>
      </c>
      <c r="AC29" s="177"/>
      <c r="AD29" s="112">
        <v>100</v>
      </c>
    </row>
    <row r="30" spans="1:30" s="192" customFormat="1" ht="19.5" x14ac:dyDescent="0.45">
      <c r="A30" s="189" t="s">
        <v>30</v>
      </c>
      <c r="B30" s="18">
        <f t="shared" si="1"/>
        <v>21</v>
      </c>
      <c r="C30" s="19" t="s">
        <v>92</v>
      </c>
      <c r="D30" s="19" t="s">
        <v>15</v>
      </c>
      <c r="E30" s="19" t="s">
        <v>16</v>
      </c>
      <c r="F30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"),AD30,Table1[[#This Row],[Cod No]])</f>
        <v>100</v>
      </c>
      <c r="G30" s="20" t="s">
        <v>91</v>
      </c>
      <c r="H30" s="20" t="s">
        <v>93</v>
      </c>
      <c r="I30" s="20"/>
      <c r="J30" s="257"/>
      <c r="K30" s="257"/>
      <c r="L30" s="257"/>
      <c r="M30" s="257"/>
      <c r="N30" s="257"/>
      <c r="O30" s="257"/>
      <c r="P30" s="257"/>
      <c r="Q30" s="257"/>
      <c r="R30" s="236"/>
      <c r="S30" s="197"/>
      <c r="T30" s="45">
        <f>SUM(Table1[[#This Row],[B]:[Blank]])</f>
        <v>0</v>
      </c>
      <c r="U30" s="116">
        <v>2</v>
      </c>
      <c r="V30" s="118">
        <f t="shared" si="0"/>
        <v>0</v>
      </c>
      <c r="W30" s="111">
        <v>0.73699999999999999</v>
      </c>
      <c r="X30" s="111">
        <f>Table1[[#This Row],[Coil Size]]*Table1[[#This Row],[D10]]/1000*VLOOKUP(Table1[[#This Row],[Navision Code]],'TABULAR PRICE LIST'!A:L,11,FALSE)</f>
        <v>0</v>
      </c>
      <c r="Y30" s="111">
        <f>IFERROR(Table1[[#This Row],[Coil Size]]*Table1[[#This Row],[D10]]/1000*VLOOKUP(Table1[[#This Row],[Navision Code]],'TABULAR PRICE LIST'!A:L,10,FALSE),0)</f>
        <v>0</v>
      </c>
      <c r="Z30" s="111">
        <f>VLOOKUP(C30,'TABULAR PRICE LIST'!$A:$L,12,FALSE)</f>
        <v>264</v>
      </c>
      <c r="AA30" s="111">
        <f>Table1[[#This Row],[Coil Size]]*Table1[[#This Row],[D10]]/1000</f>
        <v>0</v>
      </c>
      <c r="AB30" s="111">
        <f>Table1[[#This Row],[Weight/KYD]]*Table1[[#This Row],[D10]]</f>
        <v>0</v>
      </c>
      <c r="AC30" s="177"/>
      <c r="AD30" s="111">
        <v>100</v>
      </c>
    </row>
    <row r="31" spans="1:30" s="192" customFormat="1" ht="19.5" x14ac:dyDescent="0.45">
      <c r="A31" s="189" t="s">
        <v>30</v>
      </c>
      <c r="B31" s="18">
        <f t="shared" si="1"/>
        <v>22</v>
      </c>
      <c r="C31" s="21" t="s">
        <v>94</v>
      </c>
      <c r="D31" s="21" t="s">
        <v>15</v>
      </c>
      <c r="E31" s="21" t="s">
        <v>16</v>
      </c>
      <c r="F31" s="21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"),AD31,Table1[[#This Row],[Cod No]])</f>
        <v>100</v>
      </c>
      <c r="G31" s="22" t="s">
        <v>91</v>
      </c>
      <c r="H31" s="22" t="s">
        <v>95</v>
      </c>
      <c r="I31" s="20"/>
      <c r="J31" s="231"/>
      <c r="K31" s="231"/>
      <c r="L31" s="231"/>
      <c r="M31" s="231"/>
      <c r="N31" s="231"/>
      <c r="O31" s="231"/>
      <c r="P31" s="231"/>
      <c r="Q31" s="231"/>
      <c r="R31" s="233"/>
      <c r="S31" s="197"/>
      <c r="T31" s="45">
        <f>SUM(Table1[[#This Row],[B]:[Blank]])</f>
        <v>0</v>
      </c>
      <c r="U31" s="116">
        <v>2</v>
      </c>
      <c r="V31" s="118">
        <f t="shared" si="0"/>
        <v>0</v>
      </c>
      <c r="W31" s="121">
        <v>1.1060000000000001</v>
      </c>
      <c r="X31" s="111">
        <f>Table1[[#This Row],[Coil Size]]*Table1[[#This Row],[D10]]/1000*VLOOKUP(Table1[[#This Row],[Navision Code]],'TABULAR PRICE LIST'!A:L,11,FALSE)</f>
        <v>0</v>
      </c>
      <c r="Y31" s="121">
        <f>IFERROR(Table1[[#This Row],[Coil Size]]*Table1[[#This Row],[D10]]/1000*VLOOKUP(Table1[[#This Row],[Navision Code]],'TABULAR PRICE LIST'!A:L,10,FALSE),0)</f>
        <v>0</v>
      </c>
      <c r="Z31" s="121">
        <f>VLOOKUP(C31,'TABULAR PRICE LIST'!$A:$L,12,FALSE)</f>
        <v>286</v>
      </c>
      <c r="AA31" s="121">
        <f>Table1[[#This Row],[Coil Size]]*Table1[[#This Row],[D10]]/1000</f>
        <v>0</v>
      </c>
      <c r="AB31" s="121">
        <f>Table1[[#This Row],[Weight/KYD]]*Table1[[#This Row],[D10]]</f>
        <v>0</v>
      </c>
      <c r="AC31" s="177"/>
      <c r="AD31" s="111">
        <v>100</v>
      </c>
    </row>
    <row r="32" spans="1:30" s="192" customFormat="1" ht="19.5" x14ac:dyDescent="0.45">
      <c r="A32" s="189" t="s">
        <v>30</v>
      </c>
      <c r="B32" s="18">
        <f t="shared" si="1"/>
        <v>23</v>
      </c>
      <c r="C32" s="19" t="s">
        <v>98</v>
      </c>
      <c r="D32" s="19" t="s">
        <v>15</v>
      </c>
      <c r="E32" s="19" t="s">
        <v>16</v>
      </c>
      <c r="F32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"),AD32,Table1[[#This Row],[Cod No]])</f>
        <v>100</v>
      </c>
      <c r="G32" s="20" t="s">
        <v>91</v>
      </c>
      <c r="H32" s="20" t="s">
        <v>99</v>
      </c>
      <c r="I32" s="20"/>
      <c r="J32" s="230"/>
      <c r="K32" s="230"/>
      <c r="L32" s="230"/>
      <c r="M32" s="230"/>
      <c r="N32" s="230"/>
      <c r="O32" s="230"/>
      <c r="P32" s="230"/>
      <c r="Q32" s="230"/>
      <c r="R32" s="233"/>
      <c r="S32" s="197"/>
      <c r="T32" s="45">
        <f>SUM(Table1[[#This Row],[B]:[Blank]])</f>
        <v>0</v>
      </c>
      <c r="U32" s="116">
        <v>2.98</v>
      </c>
      <c r="V32" s="118">
        <f t="shared" si="0"/>
        <v>0</v>
      </c>
      <c r="W32" s="111">
        <v>1.4750000000000001</v>
      </c>
      <c r="X32" s="111">
        <f>Table1[[#This Row],[Coil Size]]*Table1[[#This Row],[D10]]/1000*VLOOKUP(Table1[[#This Row],[Navision Code]],'TABULAR PRICE LIST'!A:L,11,FALSE)</f>
        <v>0</v>
      </c>
      <c r="Y32" s="111">
        <f>IFERROR(Table1[[#This Row],[Coil Size]]*Table1[[#This Row],[D10]]/1000*VLOOKUP(Table1[[#This Row],[Navision Code]],'TABULAR PRICE LIST'!A:L,10,FALSE),0)</f>
        <v>0</v>
      </c>
      <c r="Z32" s="111">
        <f>VLOOKUP(C32,'TABULAR PRICE LIST'!$A:$L,12,FALSE)</f>
        <v>428</v>
      </c>
      <c r="AA32" s="111">
        <f>Table1[[#This Row],[Coil Size]]*Table1[[#This Row],[D10]]/1000</f>
        <v>0</v>
      </c>
      <c r="AB32" s="111">
        <f>Table1[[#This Row],[Weight/KYD]]*Table1[[#This Row],[D10]]</f>
        <v>0</v>
      </c>
      <c r="AC32" s="177"/>
      <c r="AD32" s="111">
        <v>100</v>
      </c>
    </row>
    <row r="33" spans="1:30" s="196" customFormat="1" ht="18.5" x14ac:dyDescent="0.45">
      <c r="A33" s="189" t="s">
        <v>30</v>
      </c>
      <c r="B33" s="18">
        <f t="shared" si="1"/>
        <v>24</v>
      </c>
      <c r="C33" s="19" t="s">
        <v>100</v>
      </c>
      <c r="D33" s="19" t="s">
        <v>15</v>
      </c>
      <c r="E33" s="19" t="s">
        <v>16</v>
      </c>
      <c r="F33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"),AD33,Table1[[#This Row],[Cod No]])</f>
        <v>100</v>
      </c>
      <c r="G33" s="20" t="s">
        <v>91</v>
      </c>
      <c r="H33" s="20" t="s">
        <v>101</v>
      </c>
      <c r="I33" s="20"/>
      <c r="J33" s="234"/>
      <c r="K33" s="234"/>
      <c r="L33" s="234"/>
      <c r="M33" s="234"/>
      <c r="N33" s="234"/>
      <c r="O33" s="234"/>
      <c r="P33" s="234"/>
      <c r="Q33" s="234"/>
      <c r="R33" s="233"/>
      <c r="S33" s="197"/>
      <c r="T33" s="45">
        <f>SUM(Table1[[#This Row],[B]:[Blank]])</f>
        <v>0</v>
      </c>
      <c r="U33" s="116">
        <v>2.93</v>
      </c>
      <c r="V33" s="118">
        <f t="shared" si="0"/>
        <v>0</v>
      </c>
      <c r="W33" s="111">
        <v>2.17</v>
      </c>
      <c r="X33" s="111">
        <f>Table1[[#This Row],[Coil Size]]*Table1[[#This Row],[D10]]/1000*VLOOKUP(Table1[[#This Row],[Navision Code]],'TABULAR PRICE LIST'!A:L,11,FALSE)</f>
        <v>0</v>
      </c>
      <c r="Y33" s="111">
        <f>IFERROR(Table1[[#This Row],[Coil Size]]*Table1[[#This Row],[D10]]/1000*VLOOKUP(Table1[[#This Row],[Navision Code]],'TABULAR PRICE LIST'!A:L,10,FALSE),0)</f>
        <v>0</v>
      </c>
      <c r="Z33" s="111">
        <f>VLOOKUP(C33,'TABULAR PRICE LIST'!$A:$L,12,FALSE)</f>
        <v>462</v>
      </c>
      <c r="AA33" s="111">
        <f>Table1[[#This Row],[Coil Size]]*Table1[[#This Row],[D10]]/1000</f>
        <v>0</v>
      </c>
      <c r="AB33" s="111">
        <f>Table1[[#This Row],[Weight/KYD]]*Table1[[#This Row],[D10]]</f>
        <v>0</v>
      </c>
      <c r="AC33" s="177"/>
      <c r="AD33" s="111">
        <v>100</v>
      </c>
    </row>
    <row r="34" spans="1:30" s="196" customFormat="1" ht="18.5" x14ac:dyDescent="0.45">
      <c r="A34" s="189" t="s">
        <v>30</v>
      </c>
      <c r="B34" s="18">
        <f t="shared" si="1"/>
        <v>25</v>
      </c>
      <c r="C34" s="19" t="s">
        <v>102</v>
      </c>
      <c r="D34" s="19" t="s">
        <v>15</v>
      </c>
      <c r="E34" s="19" t="s">
        <v>16</v>
      </c>
      <c r="F34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"),AD34,Table1[[#This Row],[Cod No]])</f>
        <v>100</v>
      </c>
      <c r="G34" s="20" t="s">
        <v>91</v>
      </c>
      <c r="H34" s="20" t="s">
        <v>103</v>
      </c>
      <c r="I34" s="20"/>
      <c r="J34" s="233"/>
      <c r="K34" s="233"/>
      <c r="L34" s="233"/>
      <c r="M34" s="233"/>
      <c r="N34" s="233"/>
      <c r="O34" s="233"/>
      <c r="P34" s="233"/>
      <c r="Q34" s="233"/>
      <c r="R34" s="233"/>
      <c r="S34" s="197"/>
      <c r="T34" s="45">
        <f>SUM(Table1[[#This Row],[B]:[Blank]])</f>
        <v>0</v>
      </c>
      <c r="U34" s="116">
        <v>3.88</v>
      </c>
      <c r="V34" s="118">
        <f t="shared" si="0"/>
        <v>0</v>
      </c>
      <c r="W34" s="111">
        <v>2.17</v>
      </c>
      <c r="X34" s="111">
        <f>Table1[[#This Row],[Coil Size]]*Table1[[#This Row],[D10]]/1000*VLOOKUP(Table1[[#This Row],[Navision Code]],'TABULAR PRICE LIST'!A:L,11,FALSE)</f>
        <v>0</v>
      </c>
      <c r="Y34" s="111">
        <f>IFERROR(Table1[[#This Row],[Coil Size]]*Table1[[#This Row],[D10]]/1000*VLOOKUP(Table1[[#This Row],[Navision Code]],'TABULAR PRICE LIST'!A:L,10,FALSE),0)</f>
        <v>0</v>
      </c>
      <c r="Z34" s="111">
        <f>VLOOKUP(C34,'TABULAR PRICE LIST'!$A:$L,12,FALSE)</f>
        <v>572</v>
      </c>
      <c r="AA34" s="111">
        <f>Table1[[#This Row],[Coil Size]]*Table1[[#This Row],[D10]]/1000</f>
        <v>0</v>
      </c>
      <c r="AB34" s="111">
        <f>Table1[[#This Row],[Weight/KYD]]*Table1[[#This Row],[D10]]</f>
        <v>0</v>
      </c>
      <c r="AC34" s="177"/>
      <c r="AD34" s="111">
        <v>100</v>
      </c>
    </row>
    <row r="35" spans="1:30" s="196" customFormat="1" ht="18.5" x14ac:dyDescent="0.45">
      <c r="A35" s="189" t="s">
        <v>30</v>
      </c>
      <c r="B35" s="18">
        <f t="shared" si="1"/>
        <v>26</v>
      </c>
      <c r="C35" s="19" t="s">
        <v>104</v>
      </c>
      <c r="D35" s="19" t="s">
        <v>15</v>
      </c>
      <c r="E35" s="19" t="s">
        <v>16</v>
      </c>
      <c r="F35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"),AD35,Table1[[#This Row],[Cod No]])</f>
        <v>100</v>
      </c>
      <c r="G35" s="20" t="s">
        <v>91</v>
      </c>
      <c r="H35" s="20" t="s">
        <v>105</v>
      </c>
      <c r="I35" s="20"/>
      <c r="J35" s="230"/>
      <c r="K35" s="230"/>
      <c r="L35" s="230"/>
      <c r="M35" s="230"/>
      <c r="N35" s="230"/>
      <c r="O35" s="230"/>
      <c r="P35" s="230"/>
      <c r="Q35" s="230"/>
      <c r="R35" s="233"/>
      <c r="S35" s="197"/>
      <c r="T35" s="45">
        <f>SUM(Table1[[#This Row],[B]:[Blank]])</f>
        <v>0</v>
      </c>
      <c r="U35" s="116">
        <v>3.99</v>
      </c>
      <c r="V35" s="118">
        <f t="shared" si="0"/>
        <v>0</v>
      </c>
      <c r="W35" s="111">
        <v>3.036</v>
      </c>
      <c r="X35" s="111">
        <f>Table1[[#This Row],[Coil Size]]*Table1[[#This Row],[D10]]/1000*VLOOKUP(Table1[[#This Row],[Navision Code]],'TABULAR PRICE LIST'!A:L,11,FALSE)</f>
        <v>0</v>
      </c>
      <c r="Y35" s="111">
        <f>IFERROR(Table1[[#This Row],[Coil Size]]*Table1[[#This Row],[D10]]/1000*VLOOKUP(Table1[[#This Row],[Navision Code]],'TABULAR PRICE LIST'!A:L,10,FALSE),0)</f>
        <v>0</v>
      </c>
      <c r="Z35" s="111">
        <f>VLOOKUP(C35,'TABULAR PRICE LIST'!$A:$L,12,FALSE)</f>
        <v>603</v>
      </c>
      <c r="AA35" s="111">
        <f>Table1[[#This Row],[Coil Size]]*Table1[[#This Row],[D10]]/1000</f>
        <v>0</v>
      </c>
      <c r="AB35" s="111">
        <f>Table1[[#This Row],[Weight/KYD]]*Table1[[#This Row],[D10]]</f>
        <v>0</v>
      </c>
      <c r="AC35" s="177"/>
      <c r="AD35" s="111">
        <v>100</v>
      </c>
    </row>
    <row r="36" spans="1:30" s="192" customFormat="1" ht="19.5" x14ac:dyDescent="0.45">
      <c r="A36" s="189" t="s">
        <v>30</v>
      </c>
      <c r="B36" s="18">
        <f t="shared" si="1"/>
        <v>27</v>
      </c>
      <c r="C36" s="19" t="s">
        <v>106</v>
      </c>
      <c r="D36" s="19" t="s">
        <v>15</v>
      </c>
      <c r="E36" s="19" t="s">
        <v>16</v>
      </c>
      <c r="F36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"),AD36,Table1[[#This Row],[Cod No]])</f>
        <v>100</v>
      </c>
      <c r="G36" s="20" t="s">
        <v>91</v>
      </c>
      <c r="H36" s="20" t="s">
        <v>107</v>
      </c>
      <c r="I36" s="20"/>
      <c r="J36" s="233"/>
      <c r="K36" s="233"/>
      <c r="L36" s="233"/>
      <c r="M36" s="233"/>
      <c r="N36" s="233"/>
      <c r="O36" s="233"/>
      <c r="P36" s="233"/>
      <c r="Q36" s="233"/>
      <c r="R36" s="233"/>
      <c r="S36" s="197"/>
      <c r="T36" s="45">
        <f>SUM(Table1[[#This Row],[B]:[Blank]])</f>
        <v>0</v>
      </c>
      <c r="U36" s="116">
        <v>5.58</v>
      </c>
      <c r="V36" s="118">
        <f t="shared" si="0"/>
        <v>0</v>
      </c>
      <c r="W36" s="111">
        <v>3.036</v>
      </c>
      <c r="X36" s="111">
        <f>Table1[[#This Row],[Coil Size]]*Table1[[#This Row],[D10]]/1000*VLOOKUP(Table1[[#This Row],[Navision Code]],'TABULAR PRICE LIST'!A:L,11,FALSE)</f>
        <v>0</v>
      </c>
      <c r="Y36" s="111">
        <f>IFERROR(Table1[[#This Row],[Coil Size]]*Table1[[#This Row],[D10]]/1000*VLOOKUP(Table1[[#This Row],[Navision Code]],'TABULAR PRICE LIST'!A:L,10,FALSE),0)</f>
        <v>0</v>
      </c>
      <c r="Z36" s="111">
        <f>VLOOKUP(C36,'TABULAR PRICE LIST'!$A:$L,12,FALSE)</f>
        <v>771</v>
      </c>
      <c r="AA36" s="111">
        <f>Table1[[#This Row],[Coil Size]]*Table1[[#This Row],[D10]]/1000</f>
        <v>0</v>
      </c>
      <c r="AB36" s="111">
        <f>Table1[[#This Row],[Weight/KYD]]*Table1[[#This Row],[D10]]</f>
        <v>0</v>
      </c>
      <c r="AC36" s="177"/>
      <c r="AD36" s="111">
        <v>100</v>
      </c>
    </row>
    <row r="37" spans="1:30" s="192" customFormat="1" ht="19.5" x14ac:dyDescent="0.45">
      <c r="A37" s="189" t="s">
        <v>30</v>
      </c>
      <c r="B37" s="18">
        <f t="shared" si="1"/>
        <v>28</v>
      </c>
      <c r="C37" s="19" t="s">
        <v>108</v>
      </c>
      <c r="D37" s="19" t="s">
        <v>15</v>
      </c>
      <c r="E37" s="19" t="s">
        <v>16</v>
      </c>
      <c r="F37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"),AD37,Table1[[#This Row],[Cod No]])</f>
        <v>100</v>
      </c>
      <c r="G37" s="20" t="s">
        <v>91</v>
      </c>
      <c r="H37" s="20" t="s">
        <v>109</v>
      </c>
      <c r="I37" s="20"/>
      <c r="J37" s="231"/>
      <c r="K37" s="231"/>
      <c r="L37" s="231"/>
      <c r="M37" s="231"/>
      <c r="N37" s="231"/>
      <c r="O37" s="231"/>
      <c r="P37" s="231"/>
      <c r="Q37" s="231"/>
      <c r="R37" s="233"/>
      <c r="S37" s="197"/>
      <c r="T37" s="45">
        <f>SUM(Table1[[#This Row],[B]:[Blank]])</f>
        <v>0</v>
      </c>
      <c r="U37" s="116">
        <v>5.28</v>
      </c>
      <c r="V37" s="118">
        <f t="shared" si="0"/>
        <v>0</v>
      </c>
      <c r="W37" s="111">
        <v>3.6159999999999997</v>
      </c>
      <c r="X37" s="111">
        <f>Table1[[#This Row],[Coil Size]]*Table1[[#This Row],[D10]]/1000*VLOOKUP(Table1[[#This Row],[Navision Code]],'TABULAR PRICE LIST'!A:L,11,FALSE)</f>
        <v>0</v>
      </c>
      <c r="Y37" s="111">
        <f>IFERROR(Table1[[#This Row],[Coil Size]]*Table1[[#This Row],[D10]]/1000*VLOOKUP(Table1[[#This Row],[Navision Code]],'TABULAR PRICE LIST'!A:L,10,FALSE),0)</f>
        <v>0</v>
      </c>
      <c r="Z37" s="111">
        <f>VLOOKUP(C37,'TABULAR PRICE LIST'!$A:$L,12,FALSE)</f>
        <v>829</v>
      </c>
      <c r="AA37" s="111">
        <f>Table1[[#This Row],[Coil Size]]*Table1[[#This Row],[D10]]/1000</f>
        <v>0</v>
      </c>
      <c r="AB37" s="111">
        <f>Table1[[#This Row],[Weight/KYD]]*Table1[[#This Row],[D10]]</f>
        <v>0</v>
      </c>
      <c r="AC37" s="177"/>
      <c r="AD37" s="111">
        <v>100</v>
      </c>
    </row>
    <row r="38" spans="1:30" s="192" customFormat="1" ht="20" thickBot="1" x14ac:dyDescent="0.5">
      <c r="A38" s="189" t="s">
        <v>30</v>
      </c>
      <c r="B38" s="18">
        <f t="shared" si="1"/>
        <v>29</v>
      </c>
      <c r="C38" s="27" t="s">
        <v>110</v>
      </c>
      <c r="D38" s="27" t="s">
        <v>15</v>
      </c>
      <c r="E38" s="27" t="s">
        <v>16</v>
      </c>
      <c r="F38" s="27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"),AD38,Table1[[#This Row],[Cod No]])</f>
        <v>100</v>
      </c>
      <c r="G38" s="28" t="s">
        <v>91</v>
      </c>
      <c r="H38" s="28" t="s">
        <v>111</v>
      </c>
      <c r="I38" s="28"/>
      <c r="J38" s="235"/>
      <c r="K38" s="235"/>
      <c r="L38" s="235"/>
      <c r="M38" s="235"/>
      <c r="N38" s="235"/>
      <c r="O38" s="235"/>
      <c r="P38" s="235"/>
      <c r="Q38" s="235"/>
      <c r="R38" s="233"/>
      <c r="S38" s="197"/>
      <c r="T38" s="49">
        <f>SUM(Table1[[#This Row],[B]:[Blank]])</f>
        <v>0</v>
      </c>
      <c r="U38" s="122">
        <v>5.9</v>
      </c>
      <c r="V38" s="123">
        <f t="shared" si="0"/>
        <v>0</v>
      </c>
      <c r="W38" s="112">
        <v>0.74399999999999999</v>
      </c>
      <c r="X38" s="111">
        <f>Table1[[#This Row],[Coil Size]]*Table1[[#This Row],[D10]]/1000*VLOOKUP(Table1[[#This Row],[Navision Code]],'TABULAR PRICE LIST'!A:L,11,FALSE)</f>
        <v>0</v>
      </c>
      <c r="Y38" s="112">
        <f>IFERROR(Table1[[#This Row],[Coil Size]]*Table1[[#This Row],[D10]]/1000*VLOOKUP(Table1[[#This Row],[Navision Code]],'TABULAR PRICE LIST'!A:L,10,FALSE),0)</f>
        <v>0</v>
      </c>
      <c r="Z38" s="112">
        <f>VLOOKUP(C38,'TABULAR PRICE LIST'!$A:$L,12,FALSE)</f>
        <v>901</v>
      </c>
      <c r="AA38" s="112">
        <f>Table1[[#This Row],[Coil Size]]*Table1[[#This Row],[D10]]/1000</f>
        <v>0</v>
      </c>
      <c r="AB38" s="112">
        <f>Table1[[#This Row],[Weight/KYD]]*Table1[[#This Row],[D10]]</f>
        <v>0</v>
      </c>
      <c r="AC38" s="177"/>
      <c r="AD38" s="112">
        <v>100</v>
      </c>
    </row>
    <row r="39" spans="1:30" s="192" customFormat="1" ht="19.5" x14ac:dyDescent="0.45">
      <c r="A39" s="189"/>
      <c r="B39" s="18">
        <f t="shared" si="1"/>
        <v>30</v>
      </c>
      <c r="C39" s="21" t="s">
        <v>112</v>
      </c>
      <c r="D39" s="21" t="s">
        <v>15</v>
      </c>
      <c r="E39" s="21" t="s">
        <v>16</v>
      </c>
      <c r="F39" s="290">
        <v>100</v>
      </c>
      <c r="G39" s="291" t="s">
        <v>113</v>
      </c>
      <c r="H39" s="291" t="s">
        <v>93</v>
      </c>
      <c r="I39" s="292"/>
      <c r="J39" s="293"/>
      <c r="K39" s="293"/>
      <c r="L39" s="293"/>
      <c r="M39" s="293"/>
      <c r="N39" s="293"/>
      <c r="O39" s="293"/>
      <c r="P39" s="293"/>
      <c r="Q39" s="293"/>
      <c r="R39" s="293"/>
      <c r="S39" s="293"/>
      <c r="T39" s="294">
        <f>SUM(Table1[[#This Row],[B]:[Blank]])</f>
        <v>0</v>
      </c>
      <c r="U39" s="295">
        <v>2.5</v>
      </c>
      <c r="V39" s="296">
        <f>U39*T39</f>
        <v>0</v>
      </c>
      <c r="W39" s="297">
        <v>0.5</v>
      </c>
      <c r="X39" s="111">
        <f>Table1[[#This Row],[Coil Size]]*Table1[[#This Row],[D10]]/1000*VLOOKUP(Table1[[#This Row],[Navision Code]],'TABULAR PRICE LIST'!A:L,11,FALSE)</f>
        <v>0</v>
      </c>
      <c r="Y39" s="297">
        <f>IFERROR(Table1[[#This Row],[Coil Size]]*Table1[[#This Row],[D10]]/1000*VLOOKUP(Table1[[#This Row],[Navision Code]],'TABULAR PRICE LIST'!A:L,10,FALSE),0)</f>
        <v>0</v>
      </c>
      <c r="Z39" s="297">
        <f>VLOOKUP(C39,'TABULAR PRICE LIST'!$A:$L,12,FALSE)</f>
        <v>0</v>
      </c>
      <c r="AA39" s="297">
        <f>Table1[[#This Row],[Coil Size]]*Table1[[#This Row],[D10]]/1000</f>
        <v>0</v>
      </c>
      <c r="AB39" s="297">
        <f>Table1[[#This Row],[Weight/KYD]]*Table1[[#This Row],[D10]]</f>
        <v>0</v>
      </c>
      <c r="AC39" s="177"/>
      <c r="AD39" s="289">
        <v>100</v>
      </c>
    </row>
    <row r="40" spans="1:30" s="196" customFormat="1" ht="18.5" x14ac:dyDescent="0.45">
      <c r="A40" s="189" t="s">
        <v>30</v>
      </c>
      <c r="B40" s="18">
        <f t="shared" si="1"/>
        <v>31</v>
      </c>
      <c r="C40" s="19" t="s">
        <v>115</v>
      </c>
      <c r="D40" s="19" t="s">
        <v>15</v>
      </c>
      <c r="E40" s="19" t="s">
        <v>16</v>
      </c>
      <c r="F40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"),AD40,Table1[[#This Row],[Cod No]])</f>
        <v>100</v>
      </c>
      <c r="G40" s="20" t="s">
        <v>113</v>
      </c>
      <c r="H40" s="20" t="s">
        <v>116</v>
      </c>
      <c r="I40" s="20"/>
      <c r="J40" s="233"/>
      <c r="K40" s="233"/>
      <c r="L40" s="233"/>
      <c r="M40" s="233"/>
      <c r="N40" s="233"/>
      <c r="O40" s="233"/>
      <c r="P40" s="233"/>
      <c r="Q40" s="233"/>
      <c r="R40" s="233"/>
      <c r="S40" s="197"/>
      <c r="T40" s="45">
        <f>SUM(Table1[[#This Row],[B]:[Blank]])</f>
        <v>0</v>
      </c>
      <c r="U40" s="116">
        <v>4.9000000000000004</v>
      </c>
      <c r="V40" s="118">
        <f t="shared" si="0"/>
        <v>0</v>
      </c>
      <c r="W40" s="111">
        <v>1.1160000000000001</v>
      </c>
      <c r="X40" s="111">
        <f>Table1[[#This Row],[Coil Size]]*Table1[[#This Row],[D10]]/1000*VLOOKUP(Table1[[#This Row],[Navision Code]],'TABULAR PRICE LIST'!A:L,11,FALSE)</f>
        <v>0</v>
      </c>
      <c r="Y40" s="111">
        <f>IFERROR(Table1[[#This Row],[Coil Size]]*Table1[[#This Row],[D10]]/1000*VLOOKUP(Table1[[#This Row],[Navision Code]],'TABULAR PRICE LIST'!A:L,10,FALSE),0)</f>
        <v>0</v>
      </c>
      <c r="Z40" s="111">
        <f>VLOOKUP(C40,'TABULAR PRICE LIST'!$A:$L,12,FALSE)</f>
        <v>542</v>
      </c>
      <c r="AA40" s="111">
        <f>Table1[[#This Row],[Coil Size]]*Table1[[#This Row],[D10]]/1000</f>
        <v>0</v>
      </c>
      <c r="AB40" s="111">
        <f>Table1[[#This Row],[Weight/KYD]]*Table1[[#This Row],[D10]]</f>
        <v>0</v>
      </c>
      <c r="AC40" s="177"/>
      <c r="AD40" s="111">
        <v>100</v>
      </c>
    </row>
    <row r="41" spans="1:30" s="196" customFormat="1" thickBot="1" x14ac:dyDescent="0.5">
      <c r="A41" s="189" t="s">
        <v>30</v>
      </c>
      <c r="B41" s="18">
        <f t="shared" si="1"/>
        <v>32</v>
      </c>
      <c r="C41" s="24" t="s">
        <v>127</v>
      </c>
      <c r="D41" s="24" t="s">
        <v>15</v>
      </c>
      <c r="E41" s="24" t="s">
        <v>16</v>
      </c>
      <c r="F41" s="24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"),AD41,Table1[[#This Row],[Cod No]])</f>
        <v>100</v>
      </c>
      <c r="G41" s="25" t="s">
        <v>113</v>
      </c>
      <c r="H41" s="25" t="s">
        <v>128</v>
      </c>
      <c r="I41" s="28"/>
      <c r="J41" s="231"/>
      <c r="K41" s="231"/>
      <c r="L41" s="231"/>
      <c r="M41" s="231"/>
      <c r="N41" s="231"/>
      <c r="O41" s="231"/>
      <c r="P41" s="231"/>
      <c r="Q41" s="231"/>
      <c r="R41" s="235"/>
      <c r="S41" s="197"/>
      <c r="T41" s="47">
        <f>SUM(Table1[[#This Row],[B]:[Blank]])</f>
        <v>0</v>
      </c>
      <c r="U41" s="119">
        <v>7.665</v>
      </c>
      <c r="V41" s="120">
        <f t="shared" si="0"/>
        <v>0</v>
      </c>
      <c r="W41" s="112">
        <v>2.1920000000000002</v>
      </c>
      <c r="X41" s="111">
        <f>Table1[[#This Row],[Coil Size]]*Table1[[#This Row],[D10]]/1000*VLOOKUP(Table1[[#This Row],[Navision Code]],'TABULAR PRICE LIST'!A:L,11,FALSE)</f>
        <v>0</v>
      </c>
      <c r="Y41" s="112">
        <f>IFERROR(Table1[[#This Row],[Coil Size]]*Table1[[#This Row],[D10]]/1000*VLOOKUP(Table1[[#This Row],[Navision Code]],'TABULAR PRICE LIST'!A:L,10,FALSE),0)</f>
        <v>0</v>
      </c>
      <c r="Z41" s="112">
        <f>VLOOKUP(C41,'TABULAR PRICE LIST'!$A:$L,12,FALSE)</f>
        <v>955</v>
      </c>
      <c r="AA41" s="112">
        <f>Table1[[#This Row],[Coil Size]]*Table1[[#This Row],[D10]]/1000</f>
        <v>0</v>
      </c>
      <c r="AB41" s="112">
        <f>Table1[[#This Row],[Weight/KYD]]*Table1[[#This Row],[D10]]</f>
        <v>0</v>
      </c>
      <c r="AC41" s="177"/>
      <c r="AD41" s="112">
        <v>100</v>
      </c>
    </row>
    <row r="42" spans="1:30" s="196" customFormat="1" ht="18.5" x14ac:dyDescent="0.45">
      <c r="A42" s="189" t="s">
        <v>30</v>
      </c>
      <c r="B42" s="18">
        <f t="shared" si="1"/>
        <v>33</v>
      </c>
      <c r="C42" s="16" t="s">
        <v>21</v>
      </c>
      <c r="D42" s="16" t="s">
        <v>15</v>
      </c>
      <c r="E42" s="16" t="s">
        <v>16</v>
      </c>
      <c r="F42" s="16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"),AD42,Table1[[#This Row],[Cod No]])</f>
        <v>100</v>
      </c>
      <c r="G42" s="17" t="s">
        <v>129</v>
      </c>
      <c r="H42" s="17" t="s">
        <v>103</v>
      </c>
      <c r="I42" s="237"/>
      <c r="J42" s="236"/>
      <c r="K42" s="236"/>
      <c r="L42" s="236"/>
      <c r="M42" s="236"/>
      <c r="N42" s="236"/>
      <c r="O42" s="236"/>
      <c r="P42" s="236"/>
      <c r="Q42" s="236"/>
      <c r="R42" s="236"/>
      <c r="S42" s="197"/>
      <c r="T42" s="43">
        <f>SUM(Table1[[#This Row],[B]:[Blank]])</f>
        <v>0</v>
      </c>
      <c r="U42" s="114">
        <v>6.84</v>
      </c>
      <c r="V42" s="115">
        <f t="shared" si="0"/>
        <v>0</v>
      </c>
      <c r="W42" s="191">
        <v>3.6520000000000006</v>
      </c>
      <c r="X42" s="111">
        <f>Table1[[#This Row],[Coil Size]]*Table1[[#This Row],[D10]]/1000*VLOOKUP(Table1[[#This Row],[Navision Code]],'TABULAR PRICE LIST'!A:L,11,FALSE)</f>
        <v>0</v>
      </c>
      <c r="Y42" s="113">
        <f>IFERROR(Table1[[#This Row],[Coil Size]]*Table1[[#This Row],[D10]]/1000*VLOOKUP(Table1[[#This Row],[Navision Code]],'TABULAR PRICE LIST'!A:L,10,FALSE),0)</f>
        <v>0</v>
      </c>
      <c r="Z42" s="113">
        <f>VLOOKUP(C42,'TABULAR PRICE LIST'!$A:$L,12,FALSE)</f>
        <v>693</v>
      </c>
      <c r="AA42" s="113">
        <f>Table1[[#This Row],[Coil Size]]*Table1[[#This Row],[D10]]/1000</f>
        <v>0</v>
      </c>
      <c r="AB42" s="191">
        <f>Table1[[#This Row],[Weight/KYD]]*Table1[[#This Row],[D10]]</f>
        <v>0</v>
      </c>
      <c r="AC42" s="177"/>
      <c r="AD42" s="191">
        <v>100</v>
      </c>
    </row>
    <row r="43" spans="1:30" s="196" customFormat="1" ht="18.5" x14ac:dyDescent="0.45">
      <c r="A43" s="189" t="s">
        <v>30</v>
      </c>
      <c r="B43" s="18">
        <f t="shared" si="1"/>
        <v>34</v>
      </c>
      <c r="C43" s="19" t="s">
        <v>130</v>
      </c>
      <c r="D43" s="19" t="s">
        <v>15</v>
      </c>
      <c r="E43" s="19" t="s">
        <v>16</v>
      </c>
      <c r="F43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"),AD43,Table1[[#This Row],[Cod No]])</f>
        <v>100</v>
      </c>
      <c r="G43" s="20" t="s">
        <v>129</v>
      </c>
      <c r="H43" s="20" t="s">
        <v>111</v>
      </c>
      <c r="I43" s="20"/>
      <c r="J43" s="230"/>
      <c r="K43" s="230"/>
      <c r="L43" s="230"/>
      <c r="M43" s="230"/>
      <c r="N43" s="230"/>
      <c r="O43" s="230"/>
      <c r="P43" s="230"/>
      <c r="Q43" s="230"/>
      <c r="R43" s="233"/>
      <c r="S43" s="197"/>
      <c r="T43" s="45">
        <f>SUM(Table1[[#This Row],[B]:[Blank]])</f>
        <v>0</v>
      </c>
      <c r="U43" s="116">
        <v>10.265000000000001</v>
      </c>
      <c r="V43" s="118">
        <f t="shared" si="0"/>
        <v>0</v>
      </c>
      <c r="W43" s="111">
        <v>5.9039999999999999</v>
      </c>
      <c r="X43" s="111">
        <f>Table1[[#This Row],[Coil Size]]*Table1[[#This Row],[D10]]/1000*VLOOKUP(Table1[[#This Row],[Navision Code]],'TABULAR PRICE LIST'!A:L,11,FALSE)</f>
        <v>0</v>
      </c>
      <c r="Y43" s="111">
        <f>IFERROR(Table1[[#This Row],[Coil Size]]*Table1[[#This Row],[D10]]/1000*VLOOKUP(Table1[[#This Row],[Navision Code]],'TABULAR PRICE LIST'!A:L,10,FALSE),0)</f>
        <v>0</v>
      </c>
      <c r="Z43" s="111">
        <f>VLOOKUP(C43,'TABULAR PRICE LIST'!$A:$L,12,FALSE)</f>
        <v>1101</v>
      </c>
      <c r="AA43" s="111">
        <f>Table1[[#This Row],[Coil Size]]*Table1[[#This Row],[D10]]/1000</f>
        <v>0</v>
      </c>
      <c r="AB43" s="111">
        <f>Table1[[#This Row],[Weight/KYD]]*Table1[[#This Row],[D10]]</f>
        <v>0</v>
      </c>
      <c r="AC43" s="177"/>
      <c r="AD43" s="111">
        <v>100</v>
      </c>
    </row>
    <row r="44" spans="1:30" s="196" customFormat="1" ht="18.5" x14ac:dyDescent="0.45">
      <c r="A44" s="189" t="s">
        <v>30</v>
      </c>
      <c r="B44" s="18">
        <f t="shared" si="1"/>
        <v>35</v>
      </c>
      <c r="C44" s="19" t="s">
        <v>131</v>
      </c>
      <c r="D44" s="19" t="s">
        <v>15</v>
      </c>
      <c r="E44" s="19" t="s">
        <v>16</v>
      </c>
      <c r="F44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"),AD44,Table1[[#This Row],[Cod No]])</f>
        <v>100</v>
      </c>
      <c r="G44" s="20" t="s">
        <v>129</v>
      </c>
      <c r="H44" s="20" t="s">
        <v>132</v>
      </c>
      <c r="I44" s="20"/>
      <c r="J44" s="233"/>
      <c r="K44" s="233"/>
      <c r="L44" s="233"/>
      <c r="M44" s="233"/>
      <c r="N44" s="233"/>
      <c r="O44" s="233"/>
      <c r="P44" s="233"/>
      <c r="Q44" s="233"/>
      <c r="R44" s="233"/>
      <c r="S44" s="197"/>
      <c r="T44" s="45">
        <f>SUM(Table1[[#This Row],[B]:[Blank]])</f>
        <v>0</v>
      </c>
      <c r="U44" s="116">
        <v>14.05</v>
      </c>
      <c r="V44" s="118">
        <f t="shared" si="0"/>
        <v>0</v>
      </c>
      <c r="W44" s="111">
        <v>8.7140000000000004</v>
      </c>
      <c r="X44" s="111">
        <f>Table1[[#This Row],[Coil Size]]*Table1[[#This Row],[D10]]/1000*VLOOKUP(Table1[[#This Row],[Navision Code]],'TABULAR PRICE LIST'!A:L,11,FALSE)</f>
        <v>0</v>
      </c>
      <c r="Y44" s="111">
        <f>IFERROR(Table1[[#This Row],[Coil Size]]*Table1[[#This Row],[D10]]/1000*VLOOKUP(Table1[[#This Row],[Navision Code]],'TABULAR PRICE LIST'!A:L,10,FALSE),0)</f>
        <v>0</v>
      </c>
      <c r="Z44" s="111">
        <f>VLOOKUP(C44,'TABULAR PRICE LIST'!$A:$L,12,FALSE)</f>
        <v>1657</v>
      </c>
      <c r="AA44" s="111">
        <f>Table1[[#This Row],[Coil Size]]*Table1[[#This Row],[D10]]/1000</f>
        <v>0</v>
      </c>
      <c r="AB44" s="111">
        <f>Table1[[#This Row],[Weight/KYD]]*Table1[[#This Row],[D10]]</f>
        <v>0</v>
      </c>
      <c r="AC44" s="177"/>
      <c r="AD44" s="111">
        <v>100</v>
      </c>
    </row>
    <row r="45" spans="1:30" s="196" customFormat="1" ht="18.5" x14ac:dyDescent="0.45">
      <c r="A45" s="189" t="s">
        <v>30</v>
      </c>
      <c r="B45" s="18">
        <f t="shared" si="1"/>
        <v>36</v>
      </c>
      <c r="C45" s="19" t="s">
        <v>133</v>
      </c>
      <c r="D45" s="19" t="s">
        <v>15</v>
      </c>
      <c r="E45" s="19" t="s">
        <v>16</v>
      </c>
      <c r="F45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"),AD45,Table1[[#This Row],[Cod No]])</f>
        <v>100</v>
      </c>
      <c r="G45" s="20" t="s">
        <v>129</v>
      </c>
      <c r="H45" s="20" t="s">
        <v>134</v>
      </c>
      <c r="I45" s="20"/>
      <c r="J45" s="232"/>
      <c r="K45" s="232"/>
      <c r="L45" s="232"/>
      <c r="M45" s="232"/>
      <c r="N45" s="232"/>
      <c r="O45" s="232"/>
      <c r="P45" s="232"/>
      <c r="Q45" s="232"/>
      <c r="R45" s="233"/>
      <c r="S45" s="197"/>
      <c r="T45" s="45">
        <f>SUM(Table1[[#This Row],[B]:[Blank]])</f>
        <v>0</v>
      </c>
      <c r="U45" s="116">
        <v>19.3</v>
      </c>
      <c r="V45" s="118">
        <f t="shared" si="0"/>
        <v>0</v>
      </c>
      <c r="W45" s="111">
        <v>7.6180000000000012</v>
      </c>
      <c r="X45" s="111">
        <f>Table1[[#This Row],[Coil Size]]*Table1[[#This Row],[D10]]/1000*VLOOKUP(Table1[[#This Row],[Navision Code]],'TABULAR PRICE LIST'!A:L,11,FALSE)</f>
        <v>0</v>
      </c>
      <c r="Y45" s="111">
        <f>IFERROR(Table1[[#This Row],[Coil Size]]*Table1[[#This Row],[D10]]/1000*VLOOKUP(Table1[[#This Row],[Navision Code]],'TABULAR PRICE LIST'!A:L,10,FALSE),0)</f>
        <v>0</v>
      </c>
      <c r="Z45" s="111">
        <f>VLOOKUP(C45,'TABULAR PRICE LIST'!$A:$L,12,FALSE)</f>
        <v>2416</v>
      </c>
      <c r="AA45" s="111">
        <f>Table1[[#This Row],[Coil Size]]*Table1[[#This Row],[D10]]/1000</f>
        <v>0</v>
      </c>
      <c r="AB45" s="111">
        <f>Table1[[#This Row],[Weight/KYD]]*Table1[[#This Row],[D10]]</f>
        <v>0</v>
      </c>
      <c r="AC45" s="177"/>
      <c r="AD45" s="111">
        <v>100</v>
      </c>
    </row>
    <row r="46" spans="1:30" s="196" customFormat="1" ht="18.5" x14ac:dyDescent="0.45">
      <c r="A46" s="189" t="s">
        <v>30</v>
      </c>
      <c r="B46" s="18">
        <f t="shared" si="1"/>
        <v>37</v>
      </c>
      <c r="C46" s="19" t="s">
        <v>135</v>
      </c>
      <c r="D46" s="19" t="s">
        <v>15</v>
      </c>
      <c r="E46" s="19" t="s">
        <v>16</v>
      </c>
      <c r="F46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"),AD46,Table1[[#This Row],[Cod No]])</f>
        <v>50</v>
      </c>
      <c r="G46" s="20" t="s">
        <v>129</v>
      </c>
      <c r="H46" s="20" t="s">
        <v>136</v>
      </c>
      <c r="I46" s="20"/>
      <c r="J46" s="230"/>
      <c r="K46" s="230"/>
      <c r="L46" s="230"/>
      <c r="M46" s="230"/>
      <c r="N46" s="230"/>
      <c r="O46" s="230"/>
      <c r="P46" s="230"/>
      <c r="Q46" s="230"/>
      <c r="R46" s="233"/>
      <c r="S46" s="197"/>
      <c r="T46" s="45">
        <f>SUM(Table1[[#This Row],[B]:[Blank]])</f>
        <v>0</v>
      </c>
      <c r="U46" s="116">
        <v>17.715</v>
      </c>
      <c r="V46" s="118">
        <f t="shared" si="0"/>
        <v>0</v>
      </c>
      <c r="W46" s="111">
        <v>3.2880000000000003</v>
      </c>
      <c r="X46" s="111">
        <f>Table1[[#This Row],[Coil Size]]*Table1[[#This Row],[D10]]/1000*VLOOKUP(Table1[[#This Row],[Navision Code]],'TABULAR PRICE LIST'!A:L,11,FALSE)</f>
        <v>0</v>
      </c>
      <c r="Y46" s="111">
        <f>IFERROR(Table1[[#This Row],[Coil Size]]*Table1[[#This Row],[D10]]/1000*VLOOKUP(Table1[[#This Row],[Navision Code]],'TABULAR PRICE LIST'!A:L,10,FALSE),0)</f>
        <v>0</v>
      </c>
      <c r="Z46" s="111">
        <f>VLOOKUP(C46,'TABULAR PRICE LIST'!$A:$L,12,FALSE)</f>
        <v>4324</v>
      </c>
      <c r="AA46" s="111">
        <f>Table1[[#This Row],[Coil Size]]*Table1[[#This Row],[D10]]/1000</f>
        <v>0</v>
      </c>
      <c r="AB46" s="111">
        <f>Table1[[#This Row],[Weight/KYD]]*Table1[[#This Row],[D10]]</f>
        <v>0</v>
      </c>
      <c r="AC46" s="177"/>
      <c r="AD46" s="111">
        <v>50</v>
      </c>
    </row>
    <row r="47" spans="1:30" s="196" customFormat="1" ht="18.5" x14ac:dyDescent="0.45">
      <c r="A47" s="189" t="s">
        <v>30</v>
      </c>
      <c r="B47" s="18">
        <f t="shared" si="1"/>
        <v>38</v>
      </c>
      <c r="C47" s="19" t="s">
        <v>137</v>
      </c>
      <c r="D47" s="19" t="s">
        <v>15</v>
      </c>
      <c r="E47" s="19" t="s">
        <v>16</v>
      </c>
      <c r="F47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"),AD47,Table1[[#This Row],[Cod No]])</f>
        <v>100</v>
      </c>
      <c r="G47" s="20" t="s">
        <v>129</v>
      </c>
      <c r="H47" s="20" t="s">
        <v>138</v>
      </c>
      <c r="I47" s="34"/>
      <c r="J47" s="232"/>
      <c r="K47" s="232"/>
      <c r="L47" s="232"/>
      <c r="M47" s="232"/>
      <c r="N47" s="232"/>
      <c r="O47" s="232"/>
      <c r="P47" s="232"/>
      <c r="Q47" s="232"/>
      <c r="R47" s="233"/>
      <c r="S47" s="197"/>
      <c r="T47" s="45">
        <f>SUM(Table1[[#This Row],[B]:[Blank]])</f>
        <v>0</v>
      </c>
      <c r="U47" s="116">
        <v>8.4269999999999996</v>
      </c>
      <c r="V47" s="118">
        <f t="shared" si="0"/>
        <v>0</v>
      </c>
      <c r="W47" s="111">
        <v>5.4779999999999998</v>
      </c>
      <c r="X47" s="111">
        <f>Table1[[#This Row],[Coil Size]]*Table1[[#This Row],[D10]]/1000*VLOOKUP(Table1[[#This Row],[Navision Code]],'TABULAR PRICE LIST'!A:L,11,FALSE)</f>
        <v>0</v>
      </c>
      <c r="Y47" s="111">
        <f>IFERROR(Table1[[#This Row],[Coil Size]]*Table1[[#This Row],[D10]]/1000*VLOOKUP(Table1[[#This Row],[Navision Code]],'TABULAR PRICE LIST'!A:L,10,FALSE),0)</f>
        <v>0</v>
      </c>
      <c r="Z47" s="111">
        <f>VLOOKUP(C47,'TABULAR PRICE LIST'!$A:$L,12,FALSE)</f>
        <v>989</v>
      </c>
      <c r="AA47" s="111">
        <f>Table1[[#This Row],[Coil Size]]*Table1[[#This Row],[D10]]/1000</f>
        <v>0</v>
      </c>
      <c r="AB47" s="111">
        <f>Table1[[#This Row],[Weight/KYD]]*Table1[[#This Row],[D10]]</f>
        <v>0</v>
      </c>
      <c r="AC47" s="177"/>
      <c r="AD47" s="111">
        <v>100</v>
      </c>
    </row>
    <row r="48" spans="1:30" s="196" customFormat="1" ht="18.5" x14ac:dyDescent="0.45">
      <c r="A48" s="189" t="s">
        <v>30</v>
      </c>
      <c r="B48" s="18">
        <f t="shared" si="1"/>
        <v>39</v>
      </c>
      <c r="C48" s="19" t="s">
        <v>139</v>
      </c>
      <c r="D48" s="19" t="s">
        <v>15</v>
      </c>
      <c r="E48" s="19" t="s">
        <v>16</v>
      </c>
      <c r="F48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"),AD48,Table1[[#This Row],[Cod No]])</f>
        <v>100</v>
      </c>
      <c r="G48" s="20" t="s">
        <v>129</v>
      </c>
      <c r="H48" s="20" t="s">
        <v>140</v>
      </c>
      <c r="I48" s="20"/>
      <c r="J48" s="231"/>
      <c r="K48" s="231"/>
      <c r="L48" s="231"/>
      <c r="M48" s="231"/>
      <c r="N48" s="231"/>
      <c r="O48" s="231"/>
      <c r="P48" s="231"/>
      <c r="Q48" s="231"/>
      <c r="R48" s="233"/>
      <c r="S48" s="197"/>
      <c r="T48" s="45">
        <f>SUM(Table1[[#This Row],[B]:[Blank]])</f>
        <v>0</v>
      </c>
      <c r="U48" s="116">
        <v>12.725</v>
      </c>
      <c r="V48" s="118">
        <f t="shared" si="0"/>
        <v>0</v>
      </c>
      <c r="W48" s="111">
        <v>8.8569999999999993</v>
      </c>
      <c r="X48" s="111">
        <f>Table1[[#This Row],[Coil Size]]*Table1[[#This Row],[D10]]/1000*VLOOKUP(Table1[[#This Row],[Navision Code]],'TABULAR PRICE LIST'!A:L,11,FALSE)</f>
        <v>0</v>
      </c>
      <c r="Y48" s="111">
        <f>IFERROR(Table1[[#This Row],[Coil Size]]*Table1[[#This Row],[D10]]/1000*VLOOKUP(Table1[[#This Row],[Navision Code]],'TABULAR PRICE LIST'!A:L,10,FALSE),0)</f>
        <v>0</v>
      </c>
      <c r="Z48" s="111">
        <f>VLOOKUP(C48,'TABULAR PRICE LIST'!$A:$L,12,FALSE)</f>
        <v>1509</v>
      </c>
      <c r="AA48" s="111">
        <f>Table1[[#This Row],[Coil Size]]*Table1[[#This Row],[D10]]/1000</f>
        <v>0</v>
      </c>
      <c r="AB48" s="111">
        <f>Table1[[#This Row],[Weight/KYD]]*Table1[[#This Row],[D10]]</f>
        <v>0</v>
      </c>
      <c r="AC48" s="177"/>
      <c r="AD48" s="111">
        <v>100</v>
      </c>
    </row>
    <row r="49" spans="1:30" s="196" customFormat="1" ht="18.5" x14ac:dyDescent="0.45">
      <c r="A49" s="189" t="s">
        <v>30</v>
      </c>
      <c r="B49" s="18">
        <f t="shared" si="1"/>
        <v>40</v>
      </c>
      <c r="C49" s="19" t="s">
        <v>141</v>
      </c>
      <c r="D49" s="19" t="s">
        <v>15</v>
      </c>
      <c r="E49" s="19" t="s">
        <v>16</v>
      </c>
      <c r="F49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"),AD49,Table1[[#This Row],[Cod No]])</f>
        <v>100</v>
      </c>
      <c r="G49" s="20" t="s">
        <v>129</v>
      </c>
      <c r="H49" s="20" t="s">
        <v>142</v>
      </c>
      <c r="I49" s="20"/>
      <c r="J49" s="233"/>
      <c r="K49" s="233"/>
      <c r="L49" s="233"/>
      <c r="M49" s="233"/>
      <c r="N49" s="233"/>
      <c r="O49" s="233"/>
      <c r="P49" s="233"/>
      <c r="Q49" s="233"/>
      <c r="R49" s="233"/>
      <c r="S49" s="197"/>
      <c r="T49" s="45">
        <f>SUM(Table1[[#This Row],[B]:[Blank]])</f>
        <v>0</v>
      </c>
      <c r="U49" s="116">
        <v>18.87</v>
      </c>
      <c r="V49" s="118">
        <f t="shared" si="0"/>
        <v>0</v>
      </c>
      <c r="W49" s="111">
        <v>13.069999999999999</v>
      </c>
      <c r="X49" s="111">
        <f>Table1[[#This Row],[Coil Size]]*Table1[[#This Row],[D10]]/1000*VLOOKUP(Table1[[#This Row],[Navision Code]],'TABULAR PRICE LIST'!A:L,11,FALSE)</f>
        <v>0</v>
      </c>
      <c r="Y49" s="111">
        <f>IFERROR(Table1[[#This Row],[Coil Size]]*Table1[[#This Row],[D10]]/1000*VLOOKUP(Table1[[#This Row],[Navision Code]],'TABULAR PRICE LIST'!A:L,10,FALSE),0)</f>
        <v>0</v>
      </c>
      <c r="Z49" s="111">
        <f>VLOOKUP(C49,'TABULAR PRICE LIST'!$A:$L,12,FALSE)</f>
        <v>2387</v>
      </c>
      <c r="AA49" s="111">
        <f>Table1[[#This Row],[Coil Size]]*Table1[[#This Row],[D10]]/1000</f>
        <v>0</v>
      </c>
      <c r="AB49" s="111">
        <f>Table1[[#This Row],[Weight/KYD]]*Table1[[#This Row],[D10]]</f>
        <v>0</v>
      </c>
      <c r="AC49" s="177"/>
      <c r="AD49" s="111">
        <v>100</v>
      </c>
    </row>
    <row r="50" spans="1:30" s="196" customFormat="1" ht="18.5" x14ac:dyDescent="0.45">
      <c r="A50" s="189" t="s">
        <v>30</v>
      </c>
      <c r="B50" s="18">
        <f t="shared" si="1"/>
        <v>41</v>
      </c>
      <c r="C50" s="19" t="s">
        <v>143</v>
      </c>
      <c r="D50" s="19" t="s">
        <v>15</v>
      </c>
      <c r="E50" s="19" t="s">
        <v>16</v>
      </c>
      <c r="F50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"),AD50,Table1[[#This Row],[Cod No]])</f>
        <v>100</v>
      </c>
      <c r="G50" s="20" t="s">
        <v>129</v>
      </c>
      <c r="H50" s="20" t="s">
        <v>144</v>
      </c>
      <c r="I50" s="20"/>
      <c r="J50" s="230"/>
      <c r="K50" s="230"/>
      <c r="L50" s="230"/>
      <c r="M50" s="230"/>
      <c r="N50" s="230"/>
      <c r="O50" s="230"/>
      <c r="P50" s="230"/>
      <c r="Q50" s="230"/>
      <c r="R50" s="233"/>
      <c r="S50" s="197"/>
      <c r="T50" s="45">
        <f>SUM(Table1[[#This Row],[B]:[Blank]])</f>
        <v>0</v>
      </c>
      <c r="U50" s="116">
        <v>26.45</v>
      </c>
      <c r="V50" s="118">
        <f t="shared" si="0"/>
        <v>0</v>
      </c>
      <c r="W50" s="111">
        <v>11.425000000000001</v>
      </c>
      <c r="X50" s="111">
        <f>Table1[[#This Row],[Coil Size]]*Table1[[#This Row],[D10]]/1000*VLOOKUP(Table1[[#This Row],[Navision Code]],'TABULAR PRICE LIST'!A:L,11,FALSE)</f>
        <v>0</v>
      </c>
      <c r="Y50" s="111">
        <f>IFERROR(Table1[[#This Row],[Coil Size]]*Table1[[#This Row],[D10]]/1000*VLOOKUP(Table1[[#This Row],[Navision Code]],'TABULAR PRICE LIST'!A:L,10,FALSE),0)</f>
        <v>0</v>
      </c>
      <c r="Z50" s="111">
        <f>VLOOKUP(C50,'TABULAR PRICE LIST'!$A:$L,12,FALSE)</f>
        <v>3586</v>
      </c>
      <c r="AA50" s="111">
        <f>Table1[[#This Row],[Coil Size]]*Table1[[#This Row],[D10]]/1000</f>
        <v>0</v>
      </c>
      <c r="AB50" s="111">
        <f>Table1[[#This Row],[Weight/KYD]]*Table1[[#This Row],[D10]]</f>
        <v>0</v>
      </c>
      <c r="AC50" s="177"/>
      <c r="AD50" s="111">
        <v>100</v>
      </c>
    </row>
    <row r="51" spans="1:30" s="315" customFormat="1" ht="18.5" x14ac:dyDescent="0.45">
      <c r="A51" s="303" t="s">
        <v>30</v>
      </c>
      <c r="B51" s="304">
        <f t="shared" si="1"/>
        <v>42</v>
      </c>
      <c r="C51" s="305" t="s">
        <v>145</v>
      </c>
      <c r="D51" s="305" t="s">
        <v>15</v>
      </c>
      <c r="E51" s="305" t="s">
        <v>16</v>
      </c>
      <c r="F51" s="305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"),AD51,Table1[[#This Row],[Cod No]])</f>
        <v>50</v>
      </c>
      <c r="G51" s="306" t="s">
        <v>129</v>
      </c>
      <c r="H51" s="306" t="s">
        <v>146</v>
      </c>
      <c r="I51" s="306"/>
      <c r="J51" s="307"/>
      <c r="K51" s="307"/>
      <c r="L51" s="307"/>
      <c r="M51" s="307"/>
      <c r="N51" s="307"/>
      <c r="O51" s="307"/>
      <c r="P51" s="307"/>
      <c r="Q51" s="307"/>
      <c r="R51" s="308"/>
      <c r="S51" s="309"/>
      <c r="T51" s="310">
        <f>SUM(Table1[[#This Row],[B]:[Blank]])</f>
        <v>0</v>
      </c>
      <c r="U51" s="311">
        <v>22.8</v>
      </c>
      <c r="V51" s="312">
        <f t="shared" si="0"/>
        <v>0</v>
      </c>
      <c r="W51" s="313">
        <v>4.383</v>
      </c>
      <c r="X51" s="313">
        <f>Table1[[#This Row],[Coil Size]]*Table1[[#This Row],[D10]]/1000*VLOOKUP(Table1[[#This Row],[Navision Code]],'TABULAR PRICE LIST'!A:L,11,FALSE)</f>
        <v>0</v>
      </c>
      <c r="Y51" s="313">
        <f>IFERROR(Table1[[#This Row],[Coil Size]]*Table1[[#This Row],[D10]]/1000*VLOOKUP(Table1[[#This Row],[Navision Code]],'TABULAR PRICE LIST'!A:L,10,FALSE),0)</f>
        <v>0</v>
      </c>
      <c r="Z51" s="313">
        <f>VLOOKUP(C51,'TABULAR PRICE LIST'!$A:$L,12,FALSE)</f>
        <v>6757</v>
      </c>
      <c r="AA51" s="313">
        <f>Table1[[#This Row],[Coil Size]]*Table1[[#This Row],[D10]]/1000</f>
        <v>0</v>
      </c>
      <c r="AB51" s="313">
        <f>Table1[[#This Row],[Weight/KYD]]*Table1[[#This Row],[D10]]</f>
        <v>0</v>
      </c>
      <c r="AC51" s="314"/>
      <c r="AD51" s="313">
        <v>50</v>
      </c>
    </row>
    <row r="52" spans="1:30" s="196" customFormat="1" ht="18.5" x14ac:dyDescent="0.45">
      <c r="A52" s="189" t="s">
        <v>30</v>
      </c>
      <c r="B52" s="18">
        <f t="shared" si="1"/>
        <v>43</v>
      </c>
      <c r="C52" s="19" t="s">
        <v>147</v>
      </c>
      <c r="D52" s="19" t="s">
        <v>15</v>
      </c>
      <c r="E52" s="19" t="s">
        <v>16</v>
      </c>
      <c r="F52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"),AD52,Table1[[#This Row],[Cod No]])</f>
        <v>100</v>
      </c>
      <c r="G52" s="20" t="s">
        <v>129</v>
      </c>
      <c r="H52" s="20" t="s">
        <v>148</v>
      </c>
      <c r="I52" s="20"/>
      <c r="J52" s="233"/>
      <c r="K52" s="233"/>
      <c r="L52" s="233"/>
      <c r="M52" s="233"/>
      <c r="N52" s="233"/>
      <c r="O52" s="233"/>
      <c r="P52" s="233"/>
      <c r="Q52" s="233"/>
      <c r="R52" s="233"/>
      <c r="S52" s="197"/>
      <c r="T52" s="45">
        <f>SUM(Table1[[#This Row],[B]:[Blank]])</f>
        <v>0</v>
      </c>
      <c r="U52" s="116">
        <v>10.59</v>
      </c>
      <c r="V52" s="118">
        <f t="shared" si="0"/>
        <v>0</v>
      </c>
      <c r="W52" s="111">
        <v>7.3040000000000012</v>
      </c>
      <c r="X52" s="111">
        <f>Table1[[#This Row],[Coil Size]]*Table1[[#This Row],[D10]]/1000*VLOOKUP(Table1[[#This Row],[Navision Code]],'TABULAR PRICE LIST'!A:L,11,FALSE)</f>
        <v>0</v>
      </c>
      <c r="Y52" s="111">
        <f>IFERROR(Table1[[#This Row],[Coil Size]]*Table1[[#This Row],[D10]]/1000*VLOOKUP(Table1[[#This Row],[Navision Code]],'TABULAR PRICE LIST'!A:L,10,FALSE),0)</f>
        <v>0</v>
      </c>
      <c r="Z52" s="111">
        <f>VLOOKUP(C52,'TABULAR PRICE LIST'!$A:$L,12,FALSE)</f>
        <v>1311</v>
      </c>
      <c r="AA52" s="111">
        <f>Table1[[#This Row],[Coil Size]]*Table1[[#This Row],[D10]]/1000</f>
        <v>0</v>
      </c>
      <c r="AB52" s="111">
        <f>Table1[[#This Row],[Weight/KYD]]*Table1[[#This Row],[D10]]</f>
        <v>0</v>
      </c>
      <c r="AC52" s="177"/>
      <c r="AD52" s="111">
        <v>100</v>
      </c>
    </row>
    <row r="53" spans="1:30" s="196" customFormat="1" ht="18.5" x14ac:dyDescent="0.45">
      <c r="A53" s="189" t="s">
        <v>30</v>
      </c>
      <c r="B53" s="18">
        <f t="shared" si="1"/>
        <v>44</v>
      </c>
      <c r="C53" s="19" t="s">
        <v>149</v>
      </c>
      <c r="D53" s="19" t="s">
        <v>15</v>
      </c>
      <c r="E53" s="19" t="s">
        <v>16</v>
      </c>
      <c r="F53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"),AD53,Table1[[#This Row],[Cod No]])</f>
        <v>100</v>
      </c>
      <c r="G53" s="20" t="s">
        <v>129</v>
      </c>
      <c r="H53" s="20" t="s">
        <v>150</v>
      </c>
      <c r="I53" s="20"/>
      <c r="J53" s="230"/>
      <c r="K53" s="230"/>
      <c r="L53" s="230"/>
      <c r="M53" s="230"/>
      <c r="N53" s="230"/>
      <c r="O53" s="230"/>
      <c r="P53" s="230"/>
      <c r="Q53" s="230"/>
      <c r="R53" s="233"/>
      <c r="S53" s="197"/>
      <c r="T53" s="45">
        <f>SUM(Table1[[#This Row],[B]:[Blank]])</f>
        <v>0</v>
      </c>
      <c r="U53" s="116">
        <v>16.899999999999999</v>
      </c>
      <c r="V53" s="118">
        <f t="shared" si="0"/>
        <v>0</v>
      </c>
      <c r="W53" s="111">
        <v>11.808999999999999</v>
      </c>
      <c r="X53" s="111">
        <f>Table1[[#This Row],[Coil Size]]*Table1[[#This Row],[D10]]/1000*VLOOKUP(Table1[[#This Row],[Navision Code]],'TABULAR PRICE LIST'!A:L,11,FALSE)</f>
        <v>0</v>
      </c>
      <c r="Y53" s="111">
        <f>IFERROR(Table1[[#This Row],[Coil Size]]*Table1[[#This Row],[D10]]/1000*VLOOKUP(Table1[[#This Row],[Navision Code]],'TABULAR PRICE LIST'!A:L,10,FALSE),0)</f>
        <v>0</v>
      </c>
      <c r="Z53" s="111">
        <f>VLOOKUP(C53,'TABULAR PRICE LIST'!$A:$L,12,FALSE)</f>
        <v>2033</v>
      </c>
      <c r="AA53" s="111">
        <f>Table1[[#This Row],[Coil Size]]*Table1[[#This Row],[D10]]/1000</f>
        <v>0</v>
      </c>
      <c r="AB53" s="111">
        <f>Table1[[#This Row],[Weight/KYD]]*Table1[[#This Row],[D10]]</f>
        <v>0</v>
      </c>
      <c r="AC53" s="177"/>
      <c r="AD53" s="111">
        <v>100</v>
      </c>
    </row>
    <row r="54" spans="1:30" s="196" customFormat="1" ht="18.5" x14ac:dyDescent="0.45">
      <c r="A54" s="189" t="s">
        <v>30</v>
      </c>
      <c r="B54" s="18">
        <f t="shared" si="1"/>
        <v>45</v>
      </c>
      <c r="C54" s="19" t="s">
        <v>151</v>
      </c>
      <c r="D54" s="19" t="s">
        <v>15</v>
      </c>
      <c r="E54" s="19" t="s">
        <v>16</v>
      </c>
      <c r="F54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"),AD54,Table1[[#This Row],[Cod No]])</f>
        <v>100</v>
      </c>
      <c r="G54" s="20" t="s">
        <v>129</v>
      </c>
      <c r="H54" s="20" t="s">
        <v>152</v>
      </c>
      <c r="I54" s="20"/>
      <c r="J54" s="233"/>
      <c r="K54" s="233"/>
      <c r="L54" s="233"/>
      <c r="M54" s="233"/>
      <c r="N54" s="233"/>
      <c r="O54" s="233"/>
      <c r="P54" s="233"/>
      <c r="Q54" s="233"/>
      <c r="R54" s="233"/>
      <c r="S54" s="197"/>
      <c r="T54" s="45">
        <f>SUM(Table1[[#This Row],[B]:[Blank]])</f>
        <v>0</v>
      </c>
      <c r="U54" s="116">
        <v>25.2</v>
      </c>
      <c r="V54" s="118">
        <f t="shared" si="0"/>
        <v>0</v>
      </c>
      <c r="W54" s="111">
        <v>8.7149999999999999</v>
      </c>
      <c r="X54" s="111">
        <f>Table1[[#This Row],[Coil Size]]*Table1[[#This Row],[D10]]/1000*VLOOKUP(Table1[[#This Row],[Navision Code]],'TABULAR PRICE LIST'!A:L,11,FALSE)</f>
        <v>0</v>
      </c>
      <c r="Y54" s="111">
        <f>IFERROR(Table1[[#This Row],[Coil Size]]*Table1[[#This Row],[D10]]/1000*VLOOKUP(Table1[[#This Row],[Navision Code]],'TABULAR PRICE LIST'!A:L,10,FALSE),0)</f>
        <v>0</v>
      </c>
      <c r="Z54" s="111">
        <f>VLOOKUP(C54,'TABULAR PRICE LIST'!$A:$L,12,FALSE)</f>
        <v>3082</v>
      </c>
      <c r="AA54" s="111">
        <f>Table1[[#This Row],[Coil Size]]*Table1[[#This Row],[D10]]/1000</f>
        <v>0</v>
      </c>
      <c r="AB54" s="111">
        <f>Table1[[#This Row],[Weight/KYD]]*Table1[[#This Row],[D10]]</f>
        <v>0</v>
      </c>
      <c r="AC54" s="177"/>
      <c r="AD54" s="111">
        <v>100</v>
      </c>
    </row>
    <row r="55" spans="1:30" s="196" customFormat="1" ht="18.5" x14ac:dyDescent="0.45">
      <c r="A55" s="189" t="s">
        <v>30</v>
      </c>
      <c r="B55" s="18">
        <f t="shared" si="1"/>
        <v>46</v>
      </c>
      <c r="C55" s="19" t="s">
        <v>361</v>
      </c>
      <c r="D55" s="19" t="s">
        <v>15</v>
      </c>
      <c r="E55" s="19" t="s">
        <v>16</v>
      </c>
      <c r="F55" s="19">
        <v>100</v>
      </c>
      <c r="G55" s="20" t="s">
        <v>129</v>
      </c>
      <c r="H55" s="20" t="s">
        <v>153</v>
      </c>
      <c r="I55" s="20"/>
      <c r="J55" s="230"/>
      <c r="K55" s="230"/>
      <c r="L55" s="230"/>
      <c r="M55" s="230"/>
      <c r="N55" s="230"/>
      <c r="O55" s="230"/>
      <c r="P55" s="230"/>
      <c r="Q55" s="230"/>
      <c r="R55" s="233"/>
      <c r="S55" s="197"/>
      <c r="T55" s="45">
        <f>SUM(Table1[[#This Row],[B]:[Blank]])</f>
        <v>0</v>
      </c>
      <c r="U55" s="116">
        <v>34.299999999999997</v>
      </c>
      <c r="V55" s="118">
        <f t="shared" si="0"/>
        <v>0</v>
      </c>
      <c r="W55" s="111">
        <v>15.231999999999999</v>
      </c>
      <c r="X55" s="111">
        <f>Table1[[#This Row],[Coil Size]]*Table1[[#This Row],[D10]]/1000*VLOOKUP(Table1[[#This Row],[Navision Code]],'TABULAR PRICE LIST'!A:L,11,FALSE)</f>
        <v>0</v>
      </c>
      <c r="Y55" s="111">
        <f>IFERROR(Table1[[#This Row],[Coil Size]]*Table1[[#This Row],[D10]]/1000*VLOOKUP(Table1[[#This Row],[Navision Code]],'TABULAR PRICE LIST'!A:L,10,FALSE),0)</f>
        <v>0</v>
      </c>
      <c r="Z55" s="111">
        <f>VLOOKUP(C55,'TABULAR PRICE LIST'!$A:$L,12,FALSE)</f>
        <v>4482</v>
      </c>
      <c r="AA55" s="111">
        <f>Table1[[#This Row],[Coil Size]]*Table1[[#This Row],[D10]]/1000</f>
        <v>0</v>
      </c>
      <c r="AB55" s="111">
        <f>Table1[[#This Row],[Weight/KYD]]*Table1[[#This Row],[D10]]</f>
        <v>0</v>
      </c>
      <c r="AC55" s="177"/>
      <c r="AD55" s="111">
        <v>100</v>
      </c>
    </row>
    <row r="56" spans="1:30" s="196" customFormat="1" ht="18.5" x14ac:dyDescent="0.45">
      <c r="A56" s="189" t="s">
        <v>30</v>
      </c>
      <c r="B56" s="18">
        <f t="shared" si="1"/>
        <v>47</v>
      </c>
      <c r="C56" s="27" t="s">
        <v>154</v>
      </c>
      <c r="D56" s="27" t="s">
        <v>15</v>
      </c>
      <c r="E56" s="27" t="s">
        <v>16</v>
      </c>
      <c r="F56" s="27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"),AD56,Table1[[#This Row],[Cod No]])</f>
        <v>50</v>
      </c>
      <c r="G56" s="28" t="s">
        <v>129</v>
      </c>
      <c r="H56" s="28" t="s">
        <v>155</v>
      </c>
      <c r="I56" s="28"/>
      <c r="J56" s="233"/>
      <c r="K56" s="233"/>
      <c r="L56" s="233"/>
      <c r="M56" s="233"/>
      <c r="N56" s="233"/>
      <c r="O56" s="233"/>
      <c r="P56" s="233"/>
      <c r="Q56" s="233"/>
      <c r="R56" s="233"/>
      <c r="S56" s="197"/>
      <c r="T56" s="49">
        <f>SUM(Table1[[#This Row],[B]:[Blank]])</f>
        <v>0</v>
      </c>
      <c r="U56" s="122">
        <v>29.85</v>
      </c>
      <c r="V56" s="123">
        <f t="shared" si="0"/>
        <v>0</v>
      </c>
      <c r="W56" s="111">
        <v>5.84</v>
      </c>
      <c r="X56" s="111">
        <f>Table1[[#This Row],[Coil Size]]*Table1[[#This Row],[D10]]/1000*VLOOKUP(Table1[[#This Row],[Navision Code]],'TABULAR PRICE LIST'!A:L,11,FALSE)</f>
        <v>0</v>
      </c>
      <c r="Y56" s="111">
        <f>IFERROR(Table1[[#This Row],[Coil Size]]*Table1[[#This Row],[D10]]/1000*VLOOKUP(Table1[[#This Row],[Navision Code]],'TABULAR PRICE LIST'!A:L,10,FALSE),0)</f>
        <v>0</v>
      </c>
      <c r="Z56" s="111">
        <f>VLOOKUP(C56,'TABULAR PRICE LIST'!$A:$L,12,FALSE)</f>
        <v>7822</v>
      </c>
      <c r="AA56" s="111">
        <f>Table1[[#This Row],[Coil Size]]*Table1[[#This Row],[D10]]/1000</f>
        <v>0</v>
      </c>
      <c r="AB56" s="111">
        <f>Table1[[#This Row],[Weight/KYD]]*Table1[[#This Row],[D10]]</f>
        <v>0</v>
      </c>
      <c r="AC56" s="177"/>
      <c r="AD56" s="111">
        <v>50</v>
      </c>
    </row>
    <row r="57" spans="1:30" s="196" customFormat="1" ht="18.5" x14ac:dyDescent="0.45">
      <c r="A57" s="189" t="s">
        <v>30</v>
      </c>
      <c r="B57" s="18">
        <f t="shared" si="1"/>
        <v>48</v>
      </c>
      <c r="C57" s="19" t="s">
        <v>458</v>
      </c>
      <c r="D57" s="19" t="s">
        <v>15</v>
      </c>
      <c r="E57" s="19" t="s">
        <v>16</v>
      </c>
      <c r="F57" s="19">
        <v>100</v>
      </c>
      <c r="G57" s="22" t="s">
        <v>129</v>
      </c>
      <c r="H57" s="22" t="s">
        <v>474</v>
      </c>
      <c r="I57" s="20"/>
      <c r="J57" s="232"/>
      <c r="K57" s="232"/>
      <c r="L57" s="232"/>
      <c r="M57" s="232"/>
      <c r="N57" s="232"/>
      <c r="O57" s="232"/>
      <c r="P57" s="232"/>
      <c r="Q57" s="232"/>
      <c r="R57" s="233"/>
      <c r="S57" s="197"/>
      <c r="T57" s="49">
        <f>SUM(Table1[[#This Row],[B]:[Blank]])</f>
        <v>0</v>
      </c>
      <c r="U57" s="122">
        <v>6.84</v>
      </c>
      <c r="V57" s="123">
        <f t="shared" ref="V57:V62" si="2">U57*T57</f>
        <v>0</v>
      </c>
      <c r="W57" s="111">
        <v>3.6520000000000006</v>
      </c>
      <c r="X57" s="111">
        <f>Table1[[#This Row],[Coil Size]]*Table1[[#This Row],[D10]]/1000*VLOOKUP(Table1[[#This Row],[Navision Code]],'TABULAR PRICE LIST'!A:L,11,FALSE)</f>
        <v>0</v>
      </c>
      <c r="Y57" s="111">
        <f>IFERROR(Table1[[#This Row],[Coil Size]]*Table1[[#This Row],[D10]]/1000*VLOOKUP(Table1[[#This Row],[Navision Code]],'TABULAR PRICE LIST'!A:L,10,FALSE),0)</f>
        <v>0</v>
      </c>
      <c r="Z57" s="111">
        <f>VLOOKUP(C57,'TABULAR PRICE LIST'!$A:$L,12,FALSE)</f>
        <v>742</v>
      </c>
      <c r="AA57" s="111">
        <f>Table1[[#This Row],[Coil Size]]*Table1[[#This Row],[D10]]/1000</f>
        <v>0</v>
      </c>
      <c r="AB57" s="111">
        <f>Table1[[#This Row],[Weight/KYD]]*Table1[[#This Row],[D10]]</f>
        <v>0</v>
      </c>
      <c r="AC57" s="177"/>
      <c r="AD57" s="111">
        <v>100</v>
      </c>
    </row>
    <row r="58" spans="1:30" s="196" customFormat="1" ht="18.5" x14ac:dyDescent="0.45">
      <c r="A58" s="189" t="s">
        <v>30</v>
      </c>
      <c r="B58" s="18">
        <f t="shared" si="1"/>
        <v>49</v>
      </c>
      <c r="C58" s="27" t="s">
        <v>459</v>
      </c>
      <c r="D58" s="27" t="s">
        <v>15</v>
      </c>
      <c r="E58" s="27" t="s">
        <v>16</v>
      </c>
      <c r="F58" s="27">
        <v>100</v>
      </c>
      <c r="G58" s="22" t="s">
        <v>129</v>
      </c>
      <c r="H58" s="22" t="s">
        <v>475</v>
      </c>
      <c r="I58" s="20"/>
      <c r="J58" s="231"/>
      <c r="K58" s="231"/>
      <c r="L58" s="231"/>
      <c r="M58" s="231"/>
      <c r="N58" s="231"/>
      <c r="O58" s="231"/>
      <c r="P58" s="231"/>
      <c r="Q58" s="231"/>
      <c r="R58" s="233"/>
      <c r="S58" s="197"/>
      <c r="T58" s="49">
        <f>SUM(Table1[[#This Row],[B]:[Blank]])</f>
        <v>0</v>
      </c>
      <c r="U58" s="122">
        <v>8.4269999999999996</v>
      </c>
      <c r="V58" s="123">
        <f t="shared" si="2"/>
        <v>0</v>
      </c>
      <c r="W58" s="111">
        <v>5.4779999999999998</v>
      </c>
      <c r="X58" s="111">
        <f>Table1[[#This Row],[Coil Size]]*Table1[[#This Row],[D10]]/1000*VLOOKUP(Table1[[#This Row],[Navision Code]],'TABULAR PRICE LIST'!A:L,11,FALSE)</f>
        <v>0</v>
      </c>
      <c r="Y58" s="111">
        <f>IFERROR(Table1[[#This Row],[Coil Size]]*Table1[[#This Row],[D10]]/1000*VLOOKUP(Table1[[#This Row],[Navision Code]],'TABULAR PRICE LIST'!A:L,10,FALSE),0)</f>
        <v>0</v>
      </c>
      <c r="Z58" s="111">
        <f>VLOOKUP(C58,'TABULAR PRICE LIST'!$A:$L,12,FALSE)</f>
        <v>1136</v>
      </c>
      <c r="AA58" s="111">
        <f>Table1[[#This Row],[Coil Size]]*Table1[[#This Row],[D10]]/1000</f>
        <v>0</v>
      </c>
      <c r="AB58" s="111">
        <f>Table1[[#This Row],[Weight/KYD]]*Table1[[#This Row],[D10]]</f>
        <v>0</v>
      </c>
      <c r="AC58" s="177"/>
      <c r="AD58" s="111">
        <v>100</v>
      </c>
    </row>
    <row r="59" spans="1:30" s="196" customFormat="1" ht="18.5" x14ac:dyDescent="0.45">
      <c r="A59" s="189" t="s">
        <v>30</v>
      </c>
      <c r="B59" s="18">
        <f t="shared" si="1"/>
        <v>50</v>
      </c>
      <c r="C59" s="19" t="s">
        <v>460</v>
      </c>
      <c r="D59" s="19" t="s">
        <v>15</v>
      </c>
      <c r="E59" s="19" t="s">
        <v>16</v>
      </c>
      <c r="F59" s="19">
        <v>100</v>
      </c>
      <c r="G59" s="22" t="s">
        <v>129</v>
      </c>
      <c r="H59" s="22" t="s">
        <v>476</v>
      </c>
      <c r="I59" s="20"/>
      <c r="J59" s="233"/>
      <c r="K59" s="233"/>
      <c r="L59" s="233"/>
      <c r="M59" s="233"/>
      <c r="N59" s="233"/>
      <c r="O59" s="233"/>
      <c r="P59" s="233"/>
      <c r="Q59" s="233"/>
      <c r="R59" s="233"/>
      <c r="S59" s="197"/>
      <c r="T59" s="49">
        <f>SUM(Table1[[#This Row],[B]:[Blank]])</f>
        <v>0</v>
      </c>
      <c r="U59" s="122">
        <v>10.59</v>
      </c>
      <c r="V59" s="123">
        <f t="shared" si="2"/>
        <v>0</v>
      </c>
      <c r="W59" s="111">
        <v>7.3040000000000012</v>
      </c>
      <c r="X59" s="111">
        <f>Table1[[#This Row],[Coil Size]]*Table1[[#This Row],[D10]]/1000*VLOOKUP(Table1[[#This Row],[Navision Code]],'TABULAR PRICE LIST'!A:L,11,FALSE)</f>
        <v>0</v>
      </c>
      <c r="Y59" s="111">
        <f>IFERROR(Table1[[#This Row],[Coil Size]]*Table1[[#This Row],[D10]]/1000*VLOOKUP(Table1[[#This Row],[Navision Code]],'TABULAR PRICE LIST'!A:L,10,FALSE),0)</f>
        <v>0</v>
      </c>
      <c r="Z59" s="111">
        <f>VLOOKUP(C59,'TABULAR PRICE LIST'!$A:$L,12,FALSE)</f>
        <v>1470</v>
      </c>
      <c r="AA59" s="111">
        <f>Table1[[#This Row],[Coil Size]]*Table1[[#This Row],[D10]]/1000</f>
        <v>0</v>
      </c>
      <c r="AB59" s="111">
        <f>Table1[[#This Row],[Weight/KYD]]*Table1[[#This Row],[D10]]</f>
        <v>0</v>
      </c>
      <c r="AC59" s="177"/>
      <c r="AD59" s="111">
        <v>100</v>
      </c>
    </row>
    <row r="60" spans="1:30" s="196" customFormat="1" ht="18.5" x14ac:dyDescent="0.45">
      <c r="A60" s="189" t="s">
        <v>30</v>
      </c>
      <c r="B60" s="18">
        <f t="shared" si="1"/>
        <v>51</v>
      </c>
      <c r="C60" s="27" t="s">
        <v>461</v>
      </c>
      <c r="D60" s="27" t="s">
        <v>15</v>
      </c>
      <c r="E60" s="27" t="s">
        <v>16</v>
      </c>
      <c r="F60" s="27">
        <v>100</v>
      </c>
      <c r="G60" s="22" t="s">
        <v>129</v>
      </c>
      <c r="H60" s="22" t="s">
        <v>477</v>
      </c>
      <c r="I60" s="20"/>
      <c r="J60" s="231"/>
      <c r="K60" s="231"/>
      <c r="L60" s="231"/>
      <c r="M60" s="231"/>
      <c r="N60" s="231"/>
      <c r="O60" s="231"/>
      <c r="P60" s="231"/>
      <c r="Q60" s="231"/>
      <c r="R60" s="233"/>
      <c r="S60" s="197"/>
      <c r="T60" s="49">
        <f>SUM(Table1[[#This Row],[B]:[Blank]])</f>
        <v>0</v>
      </c>
      <c r="U60" s="122">
        <v>10.265000000000001</v>
      </c>
      <c r="V60" s="123">
        <f t="shared" si="2"/>
        <v>0</v>
      </c>
      <c r="W60" s="111">
        <v>5.9039999999999999</v>
      </c>
      <c r="X60" s="111">
        <f>Table1[[#This Row],[Coil Size]]*Table1[[#This Row],[D10]]/1000*VLOOKUP(Table1[[#This Row],[Navision Code]],'TABULAR PRICE LIST'!A:L,11,FALSE)</f>
        <v>0</v>
      </c>
      <c r="Y60" s="111">
        <f>IFERROR(Table1[[#This Row],[Coil Size]]*Table1[[#This Row],[D10]]/1000*VLOOKUP(Table1[[#This Row],[Navision Code]],'TABULAR PRICE LIST'!A:L,10,FALSE),0)</f>
        <v>0</v>
      </c>
      <c r="Z60" s="111">
        <f>VLOOKUP(C60,'TABULAR PRICE LIST'!$A:$L,12,FALSE)</f>
        <v>1247</v>
      </c>
      <c r="AA60" s="111">
        <f>Table1[[#This Row],[Coil Size]]*Table1[[#This Row],[D10]]/1000</f>
        <v>0</v>
      </c>
      <c r="AB60" s="111">
        <f>Table1[[#This Row],[Weight/KYD]]*Table1[[#This Row],[D10]]</f>
        <v>0</v>
      </c>
      <c r="AC60" s="177"/>
      <c r="AD60" s="111">
        <v>100</v>
      </c>
    </row>
    <row r="61" spans="1:30" s="196" customFormat="1" ht="18.5" x14ac:dyDescent="0.45">
      <c r="A61" s="189" t="s">
        <v>30</v>
      </c>
      <c r="B61" s="18">
        <f t="shared" si="1"/>
        <v>52</v>
      </c>
      <c r="C61" s="19" t="s">
        <v>462</v>
      </c>
      <c r="D61" s="19" t="s">
        <v>15</v>
      </c>
      <c r="E61" s="19" t="s">
        <v>16</v>
      </c>
      <c r="F61" s="19">
        <v>100</v>
      </c>
      <c r="G61" s="22" t="s">
        <v>129</v>
      </c>
      <c r="H61" s="22" t="s">
        <v>478</v>
      </c>
      <c r="I61" s="20"/>
      <c r="J61" s="233"/>
      <c r="K61" s="233"/>
      <c r="L61" s="233"/>
      <c r="M61" s="233"/>
      <c r="N61" s="233"/>
      <c r="O61" s="233"/>
      <c r="P61" s="233"/>
      <c r="Q61" s="233"/>
      <c r="R61" s="233"/>
      <c r="S61" s="197"/>
      <c r="T61" s="49">
        <f>SUM(Table1[[#This Row],[B]:[Blank]])</f>
        <v>0</v>
      </c>
      <c r="U61" s="122">
        <v>12.725</v>
      </c>
      <c r="V61" s="123">
        <f t="shared" si="2"/>
        <v>0</v>
      </c>
      <c r="W61" s="111">
        <v>8.8569999999999993</v>
      </c>
      <c r="X61" s="111">
        <f>Table1[[#This Row],[Coil Size]]*Table1[[#This Row],[D10]]/1000*VLOOKUP(Table1[[#This Row],[Navision Code]],'TABULAR PRICE LIST'!A:L,11,FALSE)</f>
        <v>0</v>
      </c>
      <c r="Y61" s="111">
        <f>IFERROR(Table1[[#This Row],[Coil Size]]*Table1[[#This Row],[D10]]/1000*VLOOKUP(Table1[[#This Row],[Navision Code]],'TABULAR PRICE LIST'!A:L,10,FALSE),0)</f>
        <v>0</v>
      </c>
      <c r="Z61" s="111">
        <f>VLOOKUP(C61,'TABULAR PRICE LIST'!$A:$L,12,FALSE)</f>
        <v>1663</v>
      </c>
      <c r="AA61" s="111">
        <f>Table1[[#This Row],[Coil Size]]*Table1[[#This Row],[D10]]/1000</f>
        <v>0</v>
      </c>
      <c r="AB61" s="111">
        <f>Table1[[#This Row],[Weight/KYD]]*Table1[[#This Row],[D10]]</f>
        <v>0</v>
      </c>
      <c r="AC61" s="177"/>
      <c r="AD61" s="111">
        <v>100</v>
      </c>
    </row>
    <row r="62" spans="1:30" s="196" customFormat="1" thickBot="1" x14ac:dyDescent="0.5">
      <c r="A62" s="189" t="s">
        <v>30</v>
      </c>
      <c r="B62" s="18">
        <f t="shared" si="1"/>
        <v>53</v>
      </c>
      <c r="C62" s="24" t="s">
        <v>463</v>
      </c>
      <c r="D62" s="24" t="s">
        <v>15</v>
      </c>
      <c r="E62" s="24" t="s">
        <v>16</v>
      </c>
      <c r="F62" s="24">
        <v>100</v>
      </c>
      <c r="G62" s="22" t="s">
        <v>129</v>
      </c>
      <c r="H62" s="22" t="s">
        <v>479</v>
      </c>
      <c r="I62" s="20"/>
      <c r="J62" s="258"/>
      <c r="K62" s="258"/>
      <c r="L62" s="258"/>
      <c r="M62" s="258"/>
      <c r="N62" s="258"/>
      <c r="O62" s="258"/>
      <c r="P62" s="258"/>
      <c r="Q62" s="258"/>
      <c r="R62" s="235"/>
      <c r="S62" s="197"/>
      <c r="T62" s="49">
        <f>SUM(Table1[[#This Row],[B]:[Blank]])</f>
        <v>0</v>
      </c>
      <c r="U62" s="122">
        <v>16.899999999999999</v>
      </c>
      <c r="V62" s="123">
        <f t="shared" si="2"/>
        <v>0</v>
      </c>
      <c r="W62" s="111">
        <v>11.808999999999999</v>
      </c>
      <c r="X62" s="111">
        <f>Table1[[#This Row],[Coil Size]]*Table1[[#This Row],[D10]]/1000*VLOOKUP(Table1[[#This Row],[Navision Code]],'TABULAR PRICE LIST'!A:L,11,FALSE)</f>
        <v>0</v>
      </c>
      <c r="Y62" s="111">
        <f>IFERROR(Table1[[#This Row],[Coil Size]]*Table1[[#This Row],[D10]]/1000*VLOOKUP(Table1[[#This Row],[Navision Code]],'TABULAR PRICE LIST'!A:L,10,FALSE),0)</f>
        <v>0</v>
      </c>
      <c r="Z62" s="111">
        <f>VLOOKUP(C62,'TABULAR PRICE LIST'!$A:$L,12,FALSE)</f>
        <v>2324</v>
      </c>
      <c r="AA62" s="111">
        <f>Table1[[#This Row],[Coil Size]]*Table1[[#This Row],[D10]]/1000</f>
        <v>0</v>
      </c>
      <c r="AB62" s="111">
        <f>Table1[[#This Row],[Weight/KYD]]*Table1[[#This Row],[D10]]</f>
        <v>0</v>
      </c>
      <c r="AC62" s="177"/>
      <c r="AD62" s="111">
        <v>100</v>
      </c>
    </row>
    <row r="63" spans="1:30" s="196" customFormat="1" ht="18.5" x14ac:dyDescent="0.45">
      <c r="A63" s="189" t="s">
        <v>30</v>
      </c>
      <c r="B63" s="18">
        <f t="shared" si="1"/>
        <v>54</v>
      </c>
      <c r="C63" s="16" t="s">
        <v>176</v>
      </c>
      <c r="D63" s="16" t="s">
        <v>15</v>
      </c>
      <c r="E63" s="16" t="s">
        <v>19</v>
      </c>
      <c r="F63" s="16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"),AD63,Table1[[#This Row],[Cod No]])</f>
        <v>100</v>
      </c>
      <c r="G63" s="17" t="s">
        <v>177</v>
      </c>
      <c r="H63" s="17" t="s">
        <v>178</v>
      </c>
      <c r="I63" s="17"/>
      <c r="J63" s="232"/>
      <c r="K63" s="232"/>
      <c r="L63" s="232"/>
      <c r="M63" s="232"/>
      <c r="N63" s="232"/>
      <c r="O63" s="232"/>
      <c r="P63" s="232"/>
      <c r="Q63" s="232"/>
      <c r="R63" s="236"/>
      <c r="S63" s="197"/>
      <c r="T63" s="43">
        <f>SUM(Table1[[#This Row],[B]:[Blank]])</f>
        <v>0</v>
      </c>
      <c r="U63" s="114">
        <v>1.28</v>
      </c>
      <c r="V63" s="115">
        <f t="shared" ref="V63:V112" si="3">U63*T63</f>
        <v>0</v>
      </c>
      <c r="W63" s="191">
        <v>0.86099999999999999</v>
      </c>
      <c r="X63" s="111">
        <f>Table1[[#This Row],[Coil Size]]*Table1[[#This Row],[D10]]/1000*VLOOKUP(Table1[[#This Row],[Navision Code]],'TABULAR PRICE LIST'!A:L,11,FALSE)</f>
        <v>0</v>
      </c>
      <c r="Y63" s="113">
        <f>IFERROR(Table1[[#This Row],[Coil Size]]*Table1[[#This Row],[D10]]/1000*VLOOKUP(Table1[[#This Row],[Navision Code]],'TABULAR PRICE LIST'!A:L,10,FALSE),0)</f>
        <v>0</v>
      </c>
      <c r="Z63" s="113">
        <f>VLOOKUP(C63,'TABULAR PRICE LIST'!$A:$L,12,FALSE)</f>
        <v>205</v>
      </c>
      <c r="AA63" s="113">
        <f>Table1[[#This Row],[Coil Size]]*Table1[[#This Row],[D10]]/1000</f>
        <v>0</v>
      </c>
      <c r="AB63" s="191">
        <f>Table1[[#This Row],[Weight/KYD]]*Table1[[#This Row],[D10]]</f>
        <v>0</v>
      </c>
      <c r="AC63" s="177"/>
      <c r="AD63" s="191">
        <v>100</v>
      </c>
    </row>
    <row r="64" spans="1:30" s="196" customFormat="1" ht="18.5" x14ac:dyDescent="0.45">
      <c r="A64" s="189" t="s">
        <v>30</v>
      </c>
      <c r="B64" s="18">
        <f t="shared" si="1"/>
        <v>55</v>
      </c>
      <c r="C64" s="19" t="s">
        <v>179</v>
      </c>
      <c r="D64" s="19" t="s">
        <v>15</v>
      </c>
      <c r="E64" s="19" t="s">
        <v>19</v>
      </c>
      <c r="F64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"),AD64,Table1[[#This Row],[Cod No]])</f>
        <v>100</v>
      </c>
      <c r="G64" s="20" t="s">
        <v>177</v>
      </c>
      <c r="H64" s="20" t="s">
        <v>180</v>
      </c>
      <c r="I64" s="20"/>
      <c r="J64" s="230"/>
      <c r="K64" s="230"/>
      <c r="L64" s="230"/>
      <c r="M64" s="230"/>
      <c r="N64" s="230"/>
      <c r="O64" s="230"/>
      <c r="P64" s="230"/>
      <c r="Q64" s="230"/>
      <c r="R64" s="233"/>
      <c r="S64" s="197"/>
      <c r="T64" s="45">
        <f>SUM(Table1[[#This Row],[B]:[Blank]])</f>
        <v>0</v>
      </c>
      <c r="U64" s="116">
        <v>1.964</v>
      </c>
      <c r="V64" s="118">
        <f t="shared" si="3"/>
        <v>0</v>
      </c>
      <c r="W64" s="111">
        <v>1.2030000000000001</v>
      </c>
      <c r="X64" s="111">
        <f>Table1[[#This Row],[Coil Size]]*Table1[[#This Row],[D10]]/1000*VLOOKUP(Table1[[#This Row],[Navision Code]],'TABULAR PRICE LIST'!A:L,11,FALSE)</f>
        <v>0</v>
      </c>
      <c r="Y64" s="111">
        <f>IFERROR(Table1[[#This Row],[Coil Size]]*Table1[[#This Row],[D10]]/1000*VLOOKUP(Table1[[#This Row],[Navision Code]],'TABULAR PRICE LIST'!A:L,10,FALSE),0)</f>
        <v>0</v>
      </c>
      <c r="Z64" s="111">
        <f>VLOOKUP(C64,'TABULAR PRICE LIST'!$A:$L,12,FALSE)</f>
        <v>345</v>
      </c>
      <c r="AA64" s="111">
        <f>Table1[[#This Row],[Coil Size]]*Table1[[#This Row],[D10]]/1000</f>
        <v>0</v>
      </c>
      <c r="AB64" s="111">
        <f>Table1[[#This Row],[Weight/KYD]]*Table1[[#This Row],[D10]]</f>
        <v>0</v>
      </c>
      <c r="AC64" s="177"/>
      <c r="AD64" s="111">
        <v>100</v>
      </c>
    </row>
    <row r="65" spans="1:30" s="196" customFormat="1" ht="18.5" x14ac:dyDescent="0.45">
      <c r="A65" s="189" t="s">
        <v>30</v>
      </c>
      <c r="B65" s="18">
        <f t="shared" si="1"/>
        <v>56</v>
      </c>
      <c r="C65" s="19" t="s">
        <v>181</v>
      </c>
      <c r="D65" s="19" t="s">
        <v>15</v>
      </c>
      <c r="E65" s="19" t="s">
        <v>19</v>
      </c>
      <c r="F65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"),AD65,Table1[[#This Row],[Cod No]])</f>
        <v>100</v>
      </c>
      <c r="G65" s="20" t="s">
        <v>177</v>
      </c>
      <c r="H65" s="20" t="s">
        <v>182</v>
      </c>
      <c r="I65" s="20"/>
      <c r="J65" s="233"/>
      <c r="K65" s="233"/>
      <c r="L65" s="233"/>
      <c r="M65" s="233"/>
      <c r="N65" s="233"/>
      <c r="O65" s="233"/>
      <c r="P65" s="233"/>
      <c r="Q65" s="233"/>
      <c r="R65" s="233"/>
      <c r="S65" s="197"/>
      <c r="T65" s="45">
        <f>SUM(Table1[[#This Row],[B]:[Blank]])</f>
        <v>0</v>
      </c>
      <c r="U65" s="116">
        <v>2.5</v>
      </c>
      <c r="V65" s="118">
        <f t="shared" si="3"/>
        <v>0</v>
      </c>
      <c r="W65" s="111">
        <v>1.546</v>
      </c>
      <c r="X65" s="111">
        <f>Table1[[#This Row],[Coil Size]]*Table1[[#This Row],[D10]]/1000*VLOOKUP(Table1[[#This Row],[Navision Code]],'TABULAR PRICE LIST'!A:L,11,FALSE)</f>
        <v>0</v>
      </c>
      <c r="Y65" s="111">
        <f>IFERROR(Table1[[#This Row],[Coil Size]]*Table1[[#This Row],[D10]]/1000*VLOOKUP(Table1[[#This Row],[Navision Code]],'TABULAR PRICE LIST'!A:L,10,FALSE),0)</f>
        <v>0</v>
      </c>
      <c r="Z65" s="111">
        <f>VLOOKUP(C65,'TABULAR PRICE LIST'!$A:$L,12,FALSE)</f>
        <v>483</v>
      </c>
      <c r="AA65" s="111">
        <f>Table1[[#This Row],[Coil Size]]*Table1[[#This Row],[D10]]/1000</f>
        <v>0</v>
      </c>
      <c r="AB65" s="111">
        <f>Table1[[#This Row],[Weight/KYD]]*Table1[[#This Row],[D10]]</f>
        <v>0</v>
      </c>
      <c r="AC65" s="177"/>
      <c r="AD65" s="111">
        <v>100</v>
      </c>
    </row>
    <row r="66" spans="1:30" s="196" customFormat="1" ht="18.5" x14ac:dyDescent="0.45">
      <c r="A66" s="189" t="s">
        <v>30</v>
      </c>
      <c r="B66" s="18">
        <f t="shared" si="1"/>
        <v>57</v>
      </c>
      <c r="C66" s="19" t="s">
        <v>183</v>
      </c>
      <c r="D66" s="19" t="s">
        <v>15</v>
      </c>
      <c r="E66" s="19" t="s">
        <v>19</v>
      </c>
      <c r="F66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"),AD66,Table1[[#This Row],[Cod No]])</f>
        <v>100</v>
      </c>
      <c r="G66" s="20" t="s">
        <v>177</v>
      </c>
      <c r="H66" s="20" t="s">
        <v>184</v>
      </c>
      <c r="I66" s="20"/>
      <c r="J66" s="230"/>
      <c r="K66" s="230"/>
      <c r="L66" s="230"/>
      <c r="M66" s="230"/>
      <c r="N66" s="230"/>
      <c r="O66" s="230"/>
      <c r="P66" s="230"/>
      <c r="Q66" s="230"/>
      <c r="R66" s="233"/>
      <c r="S66" s="197"/>
      <c r="T66" s="45">
        <f>SUM(Table1[[#This Row],[B]:[Blank]])</f>
        <v>0</v>
      </c>
      <c r="U66" s="116">
        <v>3.105</v>
      </c>
      <c r="V66" s="118">
        <f t="shared" si="3"/>
        <v>0</v>
      </c>
      <c r="W66" s="111">
        <v>1.889</v>
      </c>
      <c r="X66" s="111">
        <f>Table1[[#This Row],[Coil Size]]*Table1[[#This Row],[D10]]/1000*VLOOKUP(Table1[[#This Row],[Navision Code]],'TABULAR PRICE LIST'!A:L,11,FALSE)</f>
        <v>0</v>
      </c>
      <c r="Y66" s="111">
        <f>IFERROR(Table1[[#This Row],[Coil Size]]*Table1[[#This Row],[D10]]/1000*VLOOKUP(Table1[[#This Row],[Navision Code]],'TABULAR PRICE LIST'!A:L,10,FALSE),0)</f>
        <v>0</v>
      </c>
      <c r="Z66" s="111">
        <f>VLOOKUP(C66,'TABULAR PRICE LIST'!$A:$L,12,FALSE)</f>
        <v>554</v>
      </c>
      <c r="AA66" s="111">
        <f>Table1[[#This Row],[Coil Size]]*Table1[[#This Row],[D10]]/1000</f>
        <v>0</v>
      </c>
      <c r="AB66" s="111">
        <f>Table1[[#This Row],[Weight/KYD]]*Table1[[#This Row],[D10]]</f>
        <v>0</v>
      </c>
      <c r="AC66" s="177"/>
      <c r="AD66" s="111">
        <v>100</v>
      </c>
    </row>
    <row r="67" spans="1:30" s="196" customFormat="1" ht="18.5" x14ac:dyDescent="0.45">
      <c r="A67" s="189" t="s">
        <v>30</v>
      </c>
      <c r="B67" s="18">
        <f t="shared" si="1"/>
        <v>58</v>
      </c>
      <c r="C67" s="19" t="s">
        <v>185</v>
      </c>
      <c r="D67" s="19" t="s">
        <v>15</v>
      </c>
      <c r="E67" s="19" t="s">
        <v>19</v>
      </c>
      <c r="F67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"),AD67,Table1[[#This Row],[Cod No]])</f>
        <v>100</v>
      </c>
      <c r="G67" s="20" t="s">
        <v>177</v>
      </c>
      <c r="H67" s="20" t="s">
        <v>186</v>
      </c>
      <c r="I67" s="20"/>
      <c r="J67" s="233"/>
      <c r="K67" s="233"/>
      <c r="L67" s="233"/>
      <c r="M67" s="233"/>
      <c r="N67" s="233"/>
      <c r="O67" s="233"/>
      <c r="P67" s="233"/>
      <c r="Q67" s="233"/>
      <c r="R67" s="233"/>
      <c r="S67" s="197"/>
      <c r="T67" s="45">
        <f>SUM(Table1[[#This Row],[B]:[Blank]])</f>
        <v>0</v>
      </c>
      <c r="U67" s="116">
        <v>3.8039999999999998</v>
      </c>
      <c r="V67" s="118">
        <f t="shared" si="3"/>
        <v>0</v>
      </c>
      <c r="W67" s="111">
        <v>2.2320000000000002</v>
      </c>
      <c r="X67" s="111">
        <f>Table1[[#This Row],[Coil Size]]*Table1[[#This Row],[D10]]/1000*VLOOKUP(Table1[[#This Row],[Navision Code]],'TABULAR PRICE LIST'!A:L,11,FALSE)</f>
        <v>0</v>
      </c>
      <c r="Y67" s="111">
        <f>IFERROR(Table1[[#This Row],[Coil Size]]*Table1[[#This Row],[D10]]/1000*VLOOKUP(Table1[[#This Row],[Navision Code]],'TABULAR PRICE LIST'!A:L,10,FALSE),0)</f>
        <v>0</v>
      </c>
      <c r="Z67" s="111">
        <f>VLOOKUP(C67,'TABULAR PRICE LIST'!$A:$L,12,FALSE)</f>
        <v>713</v>
      </c>
      <c r="AA67" s="111">
        <f>Table1[[#This Row],[Coil Size]]*Table1[[#This Row],[D10]]/1000</f>
        <v>0</v>
      </c>
      <c r="AB67" s="111">
        <f>Table1[[#This Row],[Weight/KYD]]*Table1[[#This Row],[D10]]</f>
        <v>0</v>
      </c>
      <c r="AC67" s="177"/>
      <c r="AD67" s="111">
        <v>100</v>
      </c>
    </row>
    <row r="68" spans="1:30" s="196" customFormat="1" ht="18.5" x14ac:dyDescent="0.45">
      <c r="A68" s="189" t="s">
        <v>30</v>
      </c>
      <c r="B68" s="18">
        <f t="shared" si="1"/>
        <v>59</v>
      </c>
      <c r="C68" s="19" t="s">
        <v>187</v>
      </c>
      <c r="D68" s="19" t="s">
        <v>15</v>
      </c>
      <c r="E68" s="19" t="s">
        <v>19</v>
      </c>
      <c r="F68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"),AD68,Table1[[#This Row],[Cod No]])</f>
        <v>100</v>
      </c>
      <c r="G68" s="20" t="s">
        <v>177</v>
      </c>
      <c r="H68" s="20" t="s">
        <v>188</v>
      </c>
      <c r="I68" s="20"/>
      <c r="J68" s="232"/>
      <c r="K68" s="232"/>
      <c r="L68" s="232"/>
      <c r="M68" s="232"/>
      <c r="N68" s="232"/>
      <c r="O68" s="232"/>
      <c r="P68" s="232"/>
      <c r="Q68" s="232"/>
      <c r="R68" s="233"/>
      <c r="S68" s="197"/>
      <c r="T68" s="45">
        <f>SUM(Table1[[#This Row],[B]:[Blank]])</f>
        <v>0</v>
      </c>
      <c r="U68" s="116">
        <v>4.45</v>
      </c>
      <c r="V68" s="118">
        <f t="shared" si="3"/>
        <v>0</v>
      </c>
      <c r="W68" s="111">
        <v>2.5750000000000002</v>
      </c>
      <c r="X68" s="111">
        <f>Table1[[#This Row],[Coil Size]]*Table1[[#This Row],[D10]]/1000*VLOOKUP(Table1[[#This Row],[Navision Code]],'TABULAR PRICE LIST'!A:L,11,FALSE)</f>
        <v>0</v>
      </c>
      <c r="Y68" s="111">
        <f>IFERROR(Table1[[#This Row],[Coil Size]]*Table1[[#This Row],[D10]]/1000*VLOOKUP(Table1[[#This Row],[Navision Code]],'TABULAR PRICE LIST'!A:L,10,FALSE),0)</f>
        <v>0</v>
      </c>
      <c r="Z68" s="111">
        <f>VLOOKUP(C68,'TABULAR PRICE LIST'!$A:$L,12,FALSE)</f>
        <v>829</v>
      </c>
      <c r="AA68" s="111">
        <f>Table1[[#This Row],[Coil Size]]*Table1[[#This Row],[D10]]/1000</f>
        <v>0</v>
      </c>
      <c r="AB68" s="111">
        <f>Table1[[#This Row],[Weight/KYD]]*Table1[[#This Row],[D10]]</f>
        <v>0</v>
      </c>
      <c r="AC68" s="177"/>
      <c r="AD68" s="111">
        <v>100</v>
      </c>
    </row>
    <row r="69" spans="1:30" s="196" customFormat="1" ht="18.5" x14ac:dyDescent="0.45">
      <c r="A69" s="189" t="s">
        <v>30</v>
      </c>
      <c r="B69" s="18">
        <f t="shared" si="1"/>
        <v>60</v>
      </c>
      <c r="C69" s="19" t="s">
        <v>191</v>
      </c>
      <c r="D69" s="19" t="s">
        <v>15</v>
      </c>
      <c r="E69" s="19" t="s">
        <v>19</v>
      </c>
      <c r="F69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"),AD69,Table1[[#This Row],[Cod No]])</f>
        <v>100</v>
      </c>
      <c r="G69" s="20" t="s">
        <v>177</v>
      </c>
      <c r="H69" s="20" t="s">
        <v>192</v>
      </c>
      <c r="I69" s="20"/>
      <c r="J69" s="233"/>
      <c r="K69" s="233"/>
      <c r="L69" s="233"/>
      <c r="M69" s="233"/>
      <c r="N69" s="233"/>
      <c r="O69" s="233"/>
      <c r="P69" s="233"/>
      <c r="Q69" s="233"/>
      <c r="R69" s="233"/>
      <c r="S69" s="197"/>
      <c r="T69" s="45">
        <f>SUM(Table1[[#This Row],[B]:[Blank]])</f>
        <v>0</v>
      </c>
      <c r="U69" s="116">
        <v>5.48</v>
      </c>
      <c r="V69" s="118">
        <f t="shared" si="3"/>
        <v>0</v>
      </c>
      <c r="W69" s="111">
        <v>3.6030000000000002</v>
      </c>
      <c r="X69" s="111">
        <f>Table1[[#This Row],[Coil Size]]*Table1[[#This Row],[D10]]/1000*VLOOKUP(Table1[[#This Row],[Navision Code]],'TABULAR PRICE LIST'!A:L,11,FALSE)</f>
        <v>0</v>
      </c>
      <c r="Y69" s="111">
        <f>IFERROR(Table1[[#This Row],[Coil Size]]*Table1[[#This Row],[D10]]/1000*VLOOKUP(Table1[[#This Row],[Navision Code]],'TABULAR PRICE LIST'!A:L,10,FALSE),0)</f>
        <v>0</v>
      </c>
      <c r="Z69" s="111">
        <f>VLOOKUP(C69,'TABULAR PRICE LIST'!$A:$L,12,FALSE)</f>
        <v>1041</v>
      </c>
      <c r="AA69" s="111">
        <f>Table1[[#This Row],[Coil Size]]*Table1[[#This Row],[D10]]/1000</f>
        <v>0</v>
      </c>
      <c r="AB69" s="111">
        <f>Table1[[#This Row],[Weight/KYD]]*Table1[[#This Row],[D10]]</f>
        <v>0</v>
      </c>
      <c r="AC69" s="177"/>
      <c r="AD69" s="111">
        <v>100</v>
      </c>
    </row>
    <row r="70" spans="1:30" s="196" customFormat="1" ht="18.5" x14ac:dyDescent="0.45">
      <c r="A70" s="189" t="s">
        <v>30</v>
      </c>
      <c r="B70" s="18">
        <f t="shared" si="1"/>
        <v>61</v>
      </c>
      <c r="C70" s="19" t="s">
        <v>193</v>
      </c>
      <c r="D70" s="19" t="s">
        <v>15</v>
      </c>
      <c r="E70" s="19" t="s">
        <v>19</v>
      </c>
      <c r="F70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"),AD70,Table1[[#This Row],[Cod No]])</f>
        <v>100</v>
      </c>
      <c r="G70" s="20" t="s">
        <v>177</v>
      </c>
      <c r="H70" s="20" t="s">
        <v>194</v>
      </c>
      <c r="I70" s="20"/>
      <c r="J70" s="231"/>
      <c r="K70" s="231"/>
      <c r="L70" s="231"/>
      <c r="M70" s="231"/>
      <c r="N70" s="231"/>
      <c r="O70" s="231"/>
      <c r="P70" s="231"/>
      <c r="Q70" s="231"/>
      <c r="R70" s="233"/>
      <c r="S70" s="197"/>
      <c r="T70" s="45">
        <f>SUM(Table1[[#This Row],[B]:[Blank]])</f>
        <v>0</v>
      </c>
      <c r="U70" s="116">
        <v>7.05</v>
      </c>
      <c r="V70" s="118">
        <f t="shared" si="3"/>
        <v>0</v>
      </c>
      <c r="W70" s="111">
        <v>5.3170000000000002</v>
      </c>
      <c r="X70" s="111">
        <f>Table1[[#This Row],[Coil Size]]*Table1[[#This Row],[D10]]/1000*VLOOKUP(Table1[[#This Row],[Navision Code]],'TABULAR PRICE LIST'!A:L,11,FALSE)</f>
        <v>0</v>
      </c>
      <c r="Y70" s="111">
        <f>IFERROR(Table1[[#This Row],[Coil Size]]*Table1[[#This Row],[D10]]/1000*VLOOKUP(Table1[[#This Row],[Navision Code]],'TABULAR PRICE LIST'!A:L,10,FALSE),0)</f>
        <v>0</v>
      </c>
      <c r="Z70" s="111">
        <f>VLOOKUP(C70,'TABULAR PRICE LIST'!$A:$L,12,FALSE)</f>
        <v>1284</v>
      </c>
      <c r="AA70" s="111">
        <f>Table1[[#This Row],[Coil Size]]*Table1[[#This Row],[D10]]/1000</f>
        <v>0</v>
      </c>
      <c r="AB70" s="111">
        <f>Table1[[#This Row],[Weight/KYD]]*Table1[[#This Row],[D10]]</f>
        <v>0</v>
      </c>
      <c r="AC70" s="177"/>
      <c r="AD70" s="111">
        <v>100</v>
      </c>
    </row>
    <row r="71" spans="1:30" ht="18.5" x14ac:dyDescent="0.45">
      <c r="A71" s="189" t="s">
        <v>30</v>
      </c>
      <c r="B71" s="18">
        <f t="shared" si="1"/>
        <v>62</v>
      </c>
      <c r="C71" s="19" t="s">
        <v>195</v>
      </c>
      <c r="D71" s="19" t="s">
        <v>15</v>
      </c>
      <c r="E71" s="19" t="s">
        <v>19</v>
      </c>
      <c r="F71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"),AD71,Table1[[#This Row],[Cod No]])</f>
        <v>100</v>
      </c>
      <c r="G71" s="20" t="s">
        <v>177</v>
      </c>
      <c r="H71" s="20" t="s">
        <v>196</v>
      </c>
      <c r="I71" s="20"/>
      <c r="J71" s="233"/>
      <c r="K71" s="233"/>
      <c r="L71" s="233"/>
      <c r="M71" s="233"/>
      <c r="N71" s="233"/>
      <c r="O71" s="233"/>
      <c r="P71" s="233"/>
      <c r="Q71" s="233"/>
      <c r="R71" s="233"/>
      <c r="S71" s="197"/>
      <c r="T71" s="45">
        <f>SUM(Table1[[#This Row],[B]:[Blank]])</f>
        <v>0</v>
      </c>
      <c r="U71" s="116">
        <v>9.25</v>
      </c>
      <c r="V71" s="118">
        <f t="shared" si="3"/>
        <v>0</v>
      </c>
      <c r="W71" s="111">
        <v>7.0309999999999997</v>
      </c>
      <c r="X71" s="111">
        <f>Table1[[#This Row],[Coil Size]]*Table1[[#This Row],[D10]]/1000*VLOOKUP(Table1[[#This Row],[Navision Code]],'TABULAR PRICE LIST'!A:L,11,FALSE)</f>
        <v>0</v>
      </c>
      <c r="Y71" s="111">
        <f>IFERROR(Table1[[#This Row],[Coil Size]]*Table1[[#This Row],[D10]]/1000*VLOOKUP(Table1[[#This Row],[Navision Code]],'TABULAR PRICE LIST'!A:L,10,FALSE),0)</f>
        <v>0</v>
      </c>
      <c r="Z71" s="111">
        <f>VLOOKUP(C71,'TABULAR PRICE LIST'!$A:$L,12,FALSE)</f>
        <v>1999</v>
      </c>
      <c r="AA71" s="111">
        <f>Table1[[#This Row],[Coil Size]]*Table1[[#This Row],[D10]]/1000</f>
        <v>0</v>
      </c>
      <c r="AB71" s="111">
        <f>Table1[[#This Row],[Weight/KYD]]*Table1[[#This Row],[D10]]</f>
        <v>0</v>
      </c>
      <c r="AC71" s="177"/>
      <c r="AD71" s="111">
        <v>100</v>
      </c>
    </row>
    <row r="72" spans="1:30" ht="18.5" x14ac:dyDescent="0.45">
      <c r="A72" s="189" t="s">
        <v>30</v>
      </c>
      <c r="B72" s="18">
        <f t="shared" si="1"/>
        <v>63</v>
      </c>
      <c r="C72" s="19" t="s">
        <v>197</v>
      </c>
      <c r="D72" s="19" t="s">
        <v>15</v>
      </c>
      <c r="E72" s="19" t="s">
        <v>19</v>
      </c>
      <c r="F72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"),AD72,Table1[[#This Row],[Cod No]])</f>
        <v>100</v>
      </c>
      <c r="G72" s="20" t="s">
        <v>177</v>
      </c>
      <c r="H72" s="20" t="s">
        <v>198</v>
      </c>
      <c r="I72" s="20"/>
      <c r="J72" s="230"/>
      <c r="K72" s="230"/>
      <c r="L72" s="230"/>
      <c r="M72" s="230"/>
      <c r="N72" s="230"/>
      <c r="O72" s="230"/>
      <c r="P72" s="230"/>
      <c r="Q72" s="230"/>
      <c r="R72" s="233"/>
      <c r="S72" s="197"/>
      <c r="T72" s="45">
        <f>SUM(Table1[[#This Row],[B]:[Blank]])</f>
        <v>0</v>
      </c>
      <c r="U72" s="116">
        <v>12.2</v>
      </c>
      <c r="V72" s="118">
        <f t="shared" si="3"/>
        <v>0</v>
      </c>
      <c r="W72" s="111">
        <v>8.7449999999999992</v>
      </c>
      <c r="X72" s="111">
        <f>Table1[[#This Row],[Coil Size]]*Table1[[#This Row],[D10]]/1000*VLOOKUP(Table1[[#This Row],[Navision Code]],'TABULAR PRICE LIST'!A:L,11,FALSE)</f>
        <v>0</v>
      </c>
      <c r="Y72" s="111">
        <f>IFERROR(Table1[[#This Row],[Coil Size]]*Table1[[#This Row],[D10]]/1000*VLOOKUP(Table1[[#This Row],[Navision Code]],'TABULAR PRICE LIST'!A:L,10,FALSE),0)</f>
        <v>0</v>
      </c>
      <c r="Z72" s="111">
        <f>VLOOKUP(C72,'TABULAR PRICE LIST'!$A:$L,12,FALSE)</f>
        <v>2564</v>
      </c>
      <c r="AA72" s="111">
        <f>Table1[[#This Row],[Coil Size]]*Table1[[#This Row],[D10]]/1000</f>
        <v>0</v>
      </c>
      <c r="AB72" s="111">
        <f>Table1[[#This Row],[Weight/KYD]]*Table1[[#This Row],[D10]]</f>
        <v>0</v>
      </c>
      <c r="AC72" s="177"/>
      <c r="AD72" s="111">
        <v>100</v>
      </c>
    </row>
    <row r="73" spans="1:30" ht="18.5" x14ac:dyDescent="0.45">
      <c r="A73" s="189" t="s">
        <v>30</v>
      </c>
      <c r="B73" s="18">
        <f t="shared" si="1"/>
        <v>64</v>
      </c>
      <c r="C73" s="19" t="s">
        <v>203</v>
      </c>
      <c r="D73" s="19" t="s">
        <v>15</v>
      </c>
      <c r="E73" s="19" t="s">
        <v>16</v>
      </c>
      <c r="F73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"),AD73,Table1[[#This Row],[Cod No]])</f>
        <v>100</v>
      </c>
      <c r="G73" s="20" t="s">
        <v>204</v>
      </c>
      <c r="H73" s="20" t="s">
        <v>93</v>
      </c>
      <c r="I73" s="29"/>
      <c r="J73" s="230"/>
      <c r="K73" s="230"/>
      <c r="L73" s="230"/>
      <c r="M73" s="230"/>
      <c r="N73" s="230"/>
      <c r="O73" s="230"/>
      <c r="P73" s="230"/>
      <c r="Q73" s="230"/>
      <c r="R73" s="233"/>
      <c r="S73" s="197"/>
      <c r="T73" s="45">
        <f>SUM(Table1[[#This Row],[B]:[Blank]])</f>
        <v>0</v>
      </c>
      <c r="U73" s="116">
        <v>0.63700000000000001</v>
      </c>
      <c r="V73" s="118">
        <f t="shared" si="3"/>
        <v>0</v>
      </c>
      <c r="W73" s="111">
        <v>1.0455000000000001</v>
      </c>
      <c r="X73" s="111">
        <f>Table1[[#This Row],[Coil Size]]*Table1[[#This Row],[D10]]/1000*VLOOKUP(Table1[[#This Row],[Navision Code]],'TABULAR PRICE LIST'!A:L,11,FALSE)</f>
        <v>0</v>
      </c>
      <c r="Y73" s="111">
        <f>IFERROR(Table1[[#This Row],[Coil Size]]*Table1[[#This Row],[D10]]/1000*VLOOKUP(Table1[[#This Row],[Navision Code]],'TABULAR PRICE LIST'!A:L,10,FALSE),0)</f>
        <v>0</v>
      </c>
      <c r="Z73" s="111">
        <f>VLOOKUP(C73,'TABULAR PRICE LIST'!$A:$L,12,FALSE)</f>
        <v>101</v>
      </c>
      <c r="AA73" s="111">
        <f>Table1[[#This Row],[Coil Size]]*Table1[[#This Row],[D10]]/1000</f>
        <v>0</v>
      </c>
      <c r="AB73" s="111">
        <f>Table1[[#This Row],[Weight/KYD]]*Table1[[#This Row],[D10]]</f>
        <v>0</v>
      </c>
      <c r="AC73" s="177"/>
      <c r="AD73" s="111">
        <v>100</v>
      </c>
    </row>
    <row r="74" spans="1:30" ht="18.5" x14ac:dyDescent="0.45">
      <c r="A74" s="189" t="s">
        <v>30</v>
      </c>
      <c r="B74" s="18">
        <f t="shared" si="1"/>
        <v>65</v>
      </c>
      <c r="C74" s="19" t="s">
        <v>205</v>
      </c>
      <c r="D74" s="19" t="s">
        <v>15</v>
      </c>
      <c r="E74" s="19" t="s">
        <v>19</v>
      </c>
      <c r="F74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"),AD74,Table1[[#This Row],[Cod No]])</f>
        <v>100</v>
      </c>
      <c r="G74" s="20" t="s">
        <v>206</v>
      </c>
      <c r="H74" s="20" t="s">
        <v>207</v>
      </c>
      <c r="I74" s="20">
        <v>100</v>
      </c>
      <c r="J74" s="233"/>
      <c r="K74" s="233"/>
      <c r="L74" s="233"/>
      <c r="M74" s="233"/>
      <c r="N74" s="233"/>
      <c r="O74" s="233"/>
      <c r="P74" s="233"/>
      <c r="Q74" s="233"/>
      <c r="R74" s="233"/>
      <c r="S74" s="197"/>
      <c r="T74" s="105">
        <f>SUM(Table1[[#This Row],[B]:[Blank]])</f>
        <v>0</v>
      </c>
      <c r="U74" s="116">
        <v>5.7491289198606275</v>
      </c>
      <c r="V74" s="118">
        <f t="shared" si="3"/>
        <v>0</v>
      </c>
      <c r="W74" s="111">
        <v>6.5343749999999998</v>
      </c>
      <c r="X74" s="111">
        <f>Table1[[#This Row],[Coil Size]]*Table1[[#This Row],[D10]]/1000*VLOOKUP(Table1[[#This Row],[Navision Code]],'TABULAR PRICE LIST'!A:L,11,FALSE)</f>
        <v>0</v>
      </c>
      <c r="Y74" s="111">
        <f>IFERROR(Table1[[#This Row],[Coil Size]]*Table1[[#This Row],[D10]]/1000*VLOOKUP(Table1[[#This Row],[Navision Code]],'TABULAR PRICE LIST'!A:L,10,FALSE),0)</f>
        <v>0</v>
      </c>
      <c r="Z74" s="111">
        <f>VLOOKUP(C74,'TABULAR PRICE LIST'!$A:$L,12,FALSE)</f>
        <v>296</v>
      </c>
      <c r="AA74" s="111">
        <f>Table1[[#This Row],[Coil Size]]*Table1[[#This Row],[D10]]/1000</f>
        <v>0</v>
      </c>
      <c r="AB74" s="111">
        <f>Table1[[#This Row],[Weight/KYD]]*Table1[[#This Row],[D10]]</f>
        <v>0</v>
      </c>
      <c r="AC74" s="177"/>
      <c r="AD74" s="111">
        <v>100</v>
      </c>
    </row>
    <row r="75" spans="1:30" ht="18.5" x14ac:dyDescent="0.45">
      <c r="A75" s="189" t="s">
        <v>30</v>
      </c>
      <c r="B75" s="18">
        <f t="shared" si="1"/>
        <v>66</v>
      </c>
      <c r="C75" s="19" t="s">
        <v>205</v>
      </c>
      <c r="D75" s="19" t="s">
        <v>15</v>
      </c>
      <c r="E75" s="19" t="s">
        <v>19</v>
      </c>
      <c r="F75" s="19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"),AD75,Table1[[#This Row],[Cod No]])</f>
        <v>250</v>
      </c>
      <c r="G75" s="22" t="s">
        <v>206</v>
      </c>
      <c r="H75" s="22" t="s">
        <v>208</v>
      </c>
      <c r="I75" s="20">
        <v>250</v>
      </c>
      <c r="J75" s="230"/>
      <c r="K75" s="230"/>
      <c r="L75" s="230"/>
      <c r="M75" s="230"/>
      <c r="N75" s="230"/>
      <c r="O75" s="230"/>
      <c r="P75" s="230"/>
      <c r="Q75" s="230"/>
      <c r="R75" s="233"/>
      <c r="S75" s="197"/>
      <c r="T75" s="105">
        <f>SUM(Table1[[#This Row],[B]:[Blank]])</f>
        <v>0</v>
      </c>
      <c r="U75" s="116">
        <v>14.372822299651569</v>
      </c>
      <c r="V75" s="118">
        <f t="shared" si="3"/>
        <v>0</v>
      </c>
      <c r="W75" s="111">
        <v>26.137499999999999</v>
      </c>
      <c r="X75" s="111">
        <f>Table1[[#This Row],[Coil Size]]*Table1[[#This Row],[D10]]/1000*VLOOKUP(Table1[[#This Row],[Navision Code]],'TABULAR PRICE LIST'!A:L,11,FALSE)</f>
        <v>0</v>
      </c>
      <c r="Y75" s="111">
        <f>IFERROR(Table1[[#This Row],[Coil Size]]*Table1[[#This Row],[D10]]/1000*VLOOKUP(Table1[[#This Row],[Navision Code]],'TABULAR PRICE LIST'!A:L,10,FALSE),0)</f>
        <v>0</v>
      </c>
      <c r="Z75" s="111">
        <f>VLOOKUP(C75,'TABULAR PRICE LIST'!$A:$L,12,FALSE)</f>
        <v>296</v>
      </c>
      <c r="AA75" s="111">
        <f>Table1[[#This Row],[Coil Size]]*Table1[[#This Row],[D10]]/1000</f>
        <v>0</v>
      </c>
      <c r="AB75" s="111">
        <f>Table1[[#This Row],[Weight/KYD]]*Table1[[#This Row],[D10]]</f>
        <v>0</v>
      </c>
      <c r="AC75" s="177"/>
      <c r="AD75" s="111">
        <v>250</v>
      </c>
    </row>
    <row r="76" spans="1:30" thickBot="1" x14ac:dyDescent="0.5">
      <c r="A76" s="189" t="s">
        <v>30</v>
      </c>
      <c r="B76" s="18">
        <f t="shared" si="1"/>
        <v>67</v>
      </c>
      <c r="C76" s="24" t="s">
        <v>205</v>
      </c>
      <c r="D76" s="24" t="s">
        <v>15</v>
      </c>
      <c r="E76" s="24" t="s">
        <v>19</v>
      </c>
      <c r="F76" s="24">
        <f>IF(OR(Table1[[#This Row],[Cod No]]="",Table1[[#This Row],[Cod No]]=" ",Table1[[#This Row],[Cod No]]="  ",Table1[[#This Row],[Cod No]]="  ",Table1[[#This Row],[Cod No]]="   ",Table1[[#This Row],[Cod No]]="     ",Table1[[#This Row],[Cod No]]="      ",Table1[[#This Row],[Cod No]]="      "),AD76,Table1[[#This Row],[Cod No]])</f>
        <v>500</v>
      </c>
      <c r="G76" s="31" t="s">
        <v>206</v>
      </c>
      <c r="H76" s="31" t="s">
        <v>209</v>
      </c>
      <c r="I76" s="25">
        <v>500</v>
      </c>
      <c r="J76" s="259"/>
      <c r="K76" s="269"/>
      <c r="L76" s="259"/>
      <c r="M76" s="259"/>
      <c r="N76" s="259"/>
      <c r="O76" s="259"/>
      <c r="P76" s="259"/>
      <c r="Q76" s="259"/>
      <c r="R76" s="235"/>
      <c r="S76" s="197"/>
      <c r="T76" s="106">
        <f>SUM(Table1[[#This Row],[B]:[Blank]])</f>
        <v>0</v>
      </c>
      <c r="U76" s="119">
        <v>28.745644599303137</v>
      </c>
      <c r="V76" s="124">
        <f t="shared" si="3"/>
        <v>0</v>
      </c>
      <c r="W76" s="112">
        <f>104.55*0.5</f>
        <v>52.274999999999999</v>
      </c>
      <c r="X76" s="111">
        <f>Table1[[#This Row],[Coil Size]]*Table1[[#This Row],[D10]]/1000*VLOOKUP(Table1[[#This Row],[Navision Code]],'TABULAR PRICE LIST'!A:L,11,FALSE)</f>
        <v>0</v>
      </c>
      <c r="Y76" s="112">
        <f>IFERROR(Table1[[#This Row],[Coil Size]]*Table1[[#This Row],[D10]]/1000*VLOOKUP(Table1[[#This Row],[Navision Code]],'TABULAR PRICE LIST'!A:L,10,FALSE),0)</f>
        <v>0</v>
      </c>
      <c r="Z76" s="112">
        <f>VLOOKUP(C76,'TABULAR PRICE LIST'!$A:$L,12,FALSE)</f>
        <v>296</v>
      </c>
      <c r="AA76" s="112">
        <f>Table1[[#This Row],[Coil Size]]*Table1[[#This Row],[D10]]/1000</f>
        <v>0</v>
      </c>
      <c r="AB76" s="112">
        <f>Table1[[#This Row],[Weight/KYD]]*Table1[[#This Row],[D10]]</f>
        <v>0</v>
      </c>
      <c r="AC76" s="177"/>
      <c r="AD76" s="112">
        <v>500</v>
      </c>
    </row>
    <row r="77" spans="1:30" ht="18.5" x14ac:dyDescent="0.45">
      <c r="A77" s="189" t="s">
        <v>30</v>
      </c>
      <c r="B77" s="32"/>
      <c r="C77" s="32"/>
      <c r="D77" s="32"/>
      <c r="E77" s="32"/>
      <c r="F77" s="32"/>
      <c r="G77" s="33"/>
      <c r="H77" s="33"/>
      <c r="I77" s="34"/>
      <c r="J77" s="232"/>
      <c r="K77" s="232"/>
      <c r="L77" s="232"/>
      <c r="M77" s="232"/>
      <c r="N77" s="232"/>
      <c r="O77" s="232"/>
      <c r="P77" s="232"/>
      <c r="Q77" s="232"/>
      <c r="R77" s="236"/>
      <c r="S77" s="240"/>
      <c r="T77" s="107"/>
      <c r="U77" s="125"/>
      <c r="V77" s="126"/>
      <c r="W77" s="127"/>
      <c r="X77" s="127"/>
      <c r="Y77" s="127"/>
      <c r="Z77" s="127"/>
      <c r="AA77" s="127"/>
      <c r="AB77" s="127"/>
      <c r="AC77" s="177"/>
      <c r="AD77" s="127"/>
    </row>
    <row r="78" spans="1:30" ht="18.5" x14ac:dyDescent="0.45">
      <c r="A78" s="189" t="s">
        <v>30</v>
      </c>
      <c r="B78" s="21"/>
      <c r="C78" s="21"/>
      <c r="D78" s="21"/>
      <c r="E78" s="21"/>
      <c r="F78" s="21"/>
      <c r="G78" s="22"/>
      <c r="H78" s="22"/>
      <c r="I78" s="20"/>
      <c r="J78" s="231"/>
      <c r="K78" s="231"/>
      <c r="L78" s="231"/>
      <c r="M78" s="231"/>
      <c r="N78" s="231"/>
      <c r="O78" s="231"/>
      <c r="P78" s="231"/>
      <c r="Q78" s="231"/>
      <c r="R78" s="232"/>
      <c r="S78" s="193"/>
      <c r="T78" s="105"/>
      <c r="U78" s="116"/>
      <c r="V78" s="118"/>
      <c r="W78" s="121"/>
      <c r="X78" s="121"/>
      <c r="Y78" s="121"/>
      <c r="Z78" s="121"/>
      <c r="AA78" s="121"/>
      <c r="AB78" s="121"/>
      <c r="AC78" s="177"/>
      <c r="AD78" s="121"/>
    </row>
    <row r="79" spans="1:30" ht="18.5" x14ac:dyDescent="0.45">
      <c r="A79" s="189" t="s">
        <v>30</v>
      </c>
      <c r="B79" s="21"/>
      <c r="C79" s="21"/>
      <c r="D79" s="21"/>
      <c r="E79" s="21"/>
      <c r="F79" s="21"/>
      <c r="G79" s="22"/>
      <c r="H79" s="22"/>
      <c r="I79" s="20"/>
      <c r="J79" s="193"/>
      <c r="K79" s="193"/>
      <c r="L79" s="193"/>
      <c r="M79" s="193"/>
      <c r="N79" s="193"/>
      <c r="O79" s="193"/>
      <c r="P79" s="193"/>
      <c r="Q79" s="193"/>
      <c r="R79" s="193"/>
      <c r="S79" s="193"/>
      <c r="T79" s="105"/>
      <c r="U79" s="116"/>
      <c r="V79" s="118"/>
      <c r="W79" s="121"/>
      <c r="X79" s="121"/>
      <c r="Y79" s="121"/>
      <c r="Z79" s="121"/>
      <c r="AA79" s="121"/>
      <c r="AB79" s="121"/>
      <c r="AC79" s="177"/>
      <c r="AD79" s="121"/>
    </row>
    <row r="80" spans="1:30" ht="18.5" x14ac:dyDescent="0.45">
      <c r="A80" s="189" t="s">
        <v>30</v>
      </c>
      <c r="B80" s="21"/>
      <c r="C80" s="21"/>
      <c r="D80" s="21"/>
      <c r="E80" s="21"/>
      <c r="F80" s="21"/>
      <c r="G80" s="22"/>
      <c r="H80" s="22"/>
      <c r="I80" s="20"/>
      <c r="J80" s="193"/>
      <c r="K80" s="193"/>
      <c r="L80" s="193"/>
      <c r="M80" s="193"/>
      <c r="N80" s="193"/>
      <c r="O80" s="193"/>
      <c r="P80" s="193"/>
      <c r="Q80" s="193"/>
      <c r="R80" s="193"/>
      <c r="S80" s="193"/>
      <c r="T80" s="105"/>
      <c r="U80" s="116"/>
      <c r="V80" s="118"/>
      <c r="W80" s="121"/>
      <c r="X80" s="121"/>
      <c r="Y80" s="121"/>
      <c r="Z80" s="121"/>
      <c r="AA80" s="121"/>
      <c r="AB80" s="121"/>
      <c r="AC80" s="177"/>
      <c r="AD80" s="121"/>
    </row>
    <row r="81" spans="1:30" thickBot="1" x14ac:dyDescent="0.5">
      <c r="A81" s="189" t="s">
        <v>30</v>
      </c>
      <c r="B81" s="21"/>
      <c r="C81" s="21"/>
      <c r="D81" s="21"/>
      <c r="E81" s="21"/>
      <c r="F81" s="21"/>
      <c r="G81" s="22"/>
      <c r="H81" s="22"/>
      <c r="I81" s="20"/>
      <c r="J81" s="193"/>
      <c r="K81" s="193"/>
      <c r="L81" s="193"/>
      <c r="M81" s="193"/>
      <c r="N81" s="193"/>
      <c r="O81" s="193"/>
      <c r="P81" s="193"/>
      <c r="Q81" s="193"/>
      <c r="R81" s="193"/>
      <c r="S81" s="193"/>
      <c r="T81" s="105"/>
      <c r="U81" s="116"/>
      <c r="V81" s="118"/>
      <c r="W81" s="121"/>
      <c r="X81" s="121"/>
      <c r="Y81" s="121"/>
      <c r="Z81" s="121"/>
      <c r="AA81" s="121"/>
      <c r="AB81" s="121"/>
      <c r="AC81" s="177"/>
      <c r="AD81" s="121"/>
    </row>
    <row r="82" spans="1:30" ht="29" thickBot="1" x14ac:dyDescent="0.7">
      <c r="B82" s="35"/>
      <c r="C82" s="35"/>
      <c r="D82" s="35"/>
      <c r="E82" s="35"/>
      <c r="F82" s="35"/>
      <c r="G82" s="36"/>
      <c r="H82" s="37" t="s">
        <v>360</v>
      </c>
      <c r="I82" s="36"/>
      <c r="J82" s="200"/>
      <c r="K82" s="201"/>
      <c r="L82" s="200"/>
      <c r="M82" s="200"/>
      <c r="N82" s="200"/>
      <c r="O82" s="200"/>
      <c r="P82" s="200"/>
      <c r="Q82" s="200"/>
      <c r="R82" s="200"/>
      <c r="S82" s="200"/>
      <c r="T82" s="108"/>
      <c r="U82" s="128"/>
      <c r="V82" s="129"/>
      <c r="W82" s="130"/>
      <c r="X82" s="135"/>
      <c r="Y82" s="135"/>
      <c r="Z82" s="135"/>
      <c r="AA82" s="135" t="s">
        <v>506</v>
      </c>
      <c r="AB82" s="130"/>
      <c r="AC82" s="177"/>
      <c r="AD82" s="130"/>
    </row>
    <row r="83" spans="1:30" ht="18.5" x14ac:dyDescent="0.45">
      <c r="A83" s="189" t="s">
        <v>34</v>
      </c>
      <c r="B83" s="18">
        <f>B76+1</f>
        <v>68</v>
      </c>
      <c r="C83" s="21" t="s">
        <v>214</v>
      </c>
      <c r="D83" s="21" t="s">
        <v>211</v>
      </c>
      <c r="E83" s="21" t="s">
        <v>19</v>
      </c>
      <c r="F83" s="21">
        <v>1</v>
      </c>
      <c r="G83" s="22" t="s">
        <v>212</v>
      </c>
      <c r="H83" s="20">
        <v>50</v>
      </c>
      <c r="I83" s="20"/>
      <c r="J83" s="20"/>
      <c r="K83" s="230"/>
      <c r="L83" s="230"/>
      <c r="M83" s="230"/>
      <c r="N83" s="230"/>
      <c r="O83" s="230"/>
      <c r="P83" s="230"/>
      <c r="Q83" s="193"/>
      <c r="R83" s="230"/>
      <c r="S83" s="44"/>
      <c r="T83" s="230">
        <f>SUM(Table1[[#This Row],[B]:[Blank]])</f>
        <v>0</v>
      </c>
      <c r="U83" s="116">
        <v>0.52045608238547281</v>
      </c>
      <c r="V83" s="118">
        <f t="shared" si="3"/>
        <v>0</v>
      </c>
      <c r="W83" s="118">
        <f>Table1[[#This Row],[SIZE]]*8.89</f>
        <v>444.5</v>
      </c>
      <c r="X83" s="111">
        <f>Table1[[#This Row],[Coil Size]]*Table1[[#This Row],[D10]]/1000*VLOOKUP(Table1[[#This Row],[Navision Code]],'TABULAR PRICE LIST'!A:L,11,FALSE)</f>
        <v>0</v>
      </c>
      <c r="Y83" s="118">
        <f>IFERROR(Table1[[#This Row],[Coil Size]]*Table1[[#This Row],[D10]]/1000*VLOOKUP(Table1[[#This Row],[Navision Code]],'TABULAR PRICE LIST'!A:L,10,FALSE),0)</f>
        <v>0</v>
      </c>
      <c r="Z83" s="118">
        <f>VLOOKUP(C83,'TABULAR PRICE LIST'!$A:$L,12,FALSE)</f>
        <v>10454</v>
      </c>
      <c r="AA83" s="118">
        <f>Table1[[#This Row],[Coil Size]]*Table1[[#This Row],[D10]]/1000</f>
        <v>0</v>
      </c>
      <c r="AB83" s="118">
        <f>Table1[[#This Row],[Weight/KYD]]*Table1[[#This Row],[D10]]</f>
        <v>0</v>
      </c>
      <c r="AC83" s="177"/>
      <c r="AD83" s="118">
        <v>1</v>
      </c>
    </row>
    <row r="84" spans="1:30" ht="18.5" x14ac:dyDescent="0.45">
      <c r="A84" s="189" t="s">
        <v>34</v>
      </c>
      <c r="B84" s="18">
        <f t="shared" ref="B84:B148" si="4">B83+1</f>
        <v>69</v>
      </c>
      <c r="C84" s="21" t="s">
        <v>215</v>
      </c>
      <c r="D84" s="21" t="s">
        <v>211</v>
      </c>
      <c r="E84" s="21" t="s">
        <v>19</v>
      </c>
      <c r="F84" s="21">
        <v>1</v>
      </c>
      <c r="G84" s="22" t="s">
        <v>212</v>
      </c>
      <c r="H84" s="20">
        <v>70</v>
      </c>
      <c r="I84" s="20"/>
      <c r="J84" s="20"/>
      <c r="K84" s="233"/>
      <c r="L84" s="233"/>
      <c r="M84" s="233"/>
      <c r="N84" s="233"/>
      <c r="O84" s="233"/>
      <c r="P84" s="233"/>
      <c r="Q84" s="269"/>
      <c r="R84" s="233"/>
      <c r="S84" s="44"/>
      <c r="T84" s="233">
        <f>SUM(Table1[[#This Row],[B]:[Blank]])</f>
        <v>0</v>
      </c>
      <c r="U84" s="116">
        <v>0.70063270197989502</v>
      </c>
      <c r="V84" s="118">
        <f t="shared" si="3"/>
        <v>0</v>
      </c>
      <c r="W84" s="118">
        <f>Table1[[#This Row],[SIZE]]*8.89/1000</f>
        <v>0.62230000000000008</v>
      </c>
      <c r="X84" s="111">
        <f>Table1[[#This Row],[Coil Size]]*Table1[[#This Row],[D10]]/1000*VLOOKUP(Table1[[#This Row],[Navision Code]],'TABULAR PRICE LIST'!A:L,11,FALSE)</f>
        <v>0</v>
      </c>
      <c r="Y84" s="118">
        <f>IFERROR(Table1[[#This Row],[Coil Size]]*Table1[[#This Row],[D10]]/1000*VLOOKUP(Table1[[#This Row],[Navision Code]],'TABULAR PRICE LIST'!A:L,10,FALSE),0)</f>
        <v>0</v>
      </c>
      <c r="Z84" s="118">
        <f>VLOOKUP(C84,'TABULAR PRICE LIST'!$A:$L,12,FALSE)</f>
        <v>14484</v>
      </c>
      <c r="AA84" s="118">
        <f>Table1[[#This Row],[Coil Size]]*Table1[[#This Row],[D10]]/1000</f>
        <v>0</v>
      </c>
      <c r="AB84" s="118">
        <f>Table1[[#This Row],[Weight/KYD]]*Table1[[#This Row],[D10]]</f>
        <v>0</v>
      </c>
      <c r="AC84" s="177"/>
      <c r="AD84" s="118">
        <v>1</v>
      </c>
    </row>
    <row r="85" spans="1:30" ht="18.5" x14ac:dyDescent="0.45">
      <c r="A85" s="189" t="s">
        <v>34</v>
      </c>
      <c r="B85" s="18">
        <f t="shared" si="4"/>
        <v>70</v>
      </c>
      <c r="C85" s="21" t="s">
        <v>216</v>
      </c>
      <c r="D85" s="21" t="s">
        <v>211</v>
      </c>
      <c r="E85" s="21" t="s">
        <v>19</v>
      </c>
      <c r="F85" s="21">
        <v>1</v>
      </c>
      <c r="G85" s="22" t="s">
        <v>212</v>
      </c>
      <c r="H85" s="20">
        <v>95</v>
      </c>
      <c r="I85" s="20"/>
      <c r="J85" s="20"/>
      <c r="K85" s="230"/>
      <c r="L85" s="230"/>
      <c r="M85" s="230"/>
      <c r="N85" s="230"/>
      <c r="O85" s="230"/>
      <c r="P85" s="230"/>
      <c r="Q85" s="230"/>
      <c r="R85" s="230"/>
      <c r="S85" s="193"/>
      <c r="T85" s="230">
        <f>SUM(Table1[[#This Row],[B]:[Blank]])</f>
        <v>0</v>
      </c>
      <c r="U85" s="116">
        <v>0.9781708565578433</v>
      </c>
      <c r="V85" s="118">
        <f t="shared" si="3"/>
        <v>0</v>
      </c>
      <c r="W85" s="118">
        <f>Table1[[#This Row],[SIZE]]*8.89/1000</f>
        <v>0.84455000000000002</v>
      </c>
      <c r="X85" s="111">
        <f>Table1[[#This Row],[Coil Size]]*Table1[[#This Row],[D10]]/1000*VLOOKUP(Table1[[#This Row],[Navision Code]],'TABULAR PRICE LIST'!A:L,11,FALSE)</f>
        <v>0</v>
      </c>
      <c r="Y85" s="118">
        <f>IFERROR(Table1[[#This Row],[Coil Size]]*Table1[[#This Row],[D10]]/1000*VLOOKUP(Table1[[#This Row],[Navision Code]],'TABULAR PRICE LIST'!A:L,10,FALSE),0)</f>
        <v>0</v>
      </c>
      <c r="Z85" s="118">
        <f>VLOOKUP(C85,'TABULAR PRICE LIST'!$A:$L,12,FALSE)</f>
        <v>20074</v>
      </c>
      <c r="AA85" s="118">
        <f>Table1[[#This Row],[Coil Size]]*Table1[[#This Row],[D10]]/1000</f>
        <v>0</v>
      </c>
      <c r="AB85" s="118">
        <f>Table1[[#This Row],[Weight/KYD]]*Table1[[#This Row],[D10]]</f>
        <v>0</v>
      </c>
      <c r="AC85" s="177"/>
      <c r="AD85" s="118">
        <v>1</v>
      </c>
    </row>
    <row r="86" spans="1:30" ht="18.5" x14ac:dyDescent="0.45">
      <c r="A86" s="189" t="s">
        <v>34</v>
      </c>
      <c r="B86" s="18">
        <f t="shared" si="4"/>
        <v>71</v>
      </c>
      <c r="C86" s="21" t="s">
        <v>217</v>
      </c>
      <c r="D86" s="21" t="s">
        <v>211</v>
      </c>
      <c r="E86" s="21" t="s">
        <v>19</v>
      </c>
      <c r="F86" s="21">
        <v>1</v>
      </c>
      <c r="G86" s="22" t="s">
        <v>212</v>
      </c>
      <c r="H86" s="20">
        <v>120</v>
      </c>
      <c r="I86" s="20"/>
      <c r="J86" s="20"/>
      <c r="K86" s="233"/>
      <c r="L86" s="233"/>
      <c r="M86" s="233"/>
      <c r="N86" s="233"/>
      <c r="O86" s="233"/>
      <c r="P86" s="233"/>
      <c r="Q86" s="233"/>
      <c r="R86" s="233"/>
      <c r="S86" s="193"/>
      <c r="T86" s="233">
        <f>SUM(Table1[[#This Row],[B]:[Blank]])</f>
        <v>0</v>
      </c>
      <c r="U86" s="116">
        <v>1.2134843002703266</v>
      </c>
      <c r="V86" s="118">
        <f t="shared" si="3"/>
        <v>0</v>
      </c>
      <c r="W86" s="118">
        <f>Table1[[#This Row],[SIZE]]*8.89/1000</f>
        <v>1.0668000000000002</v>
      </c>
      <c r="X86" s="111">
        <f>Table1[[#This Row],[Coil Size]]*Table1[[#This Row],[D10]]/1000*VLOOKUP(Table1[[#This Row],[Navision Code]],'TABULAR PRICE LIST'!A:L,11,FALSE)</f>
        <v>0</v>
      </c>
      <c r="Y86" s="118">
        <f>IFERROR(Table1[[#This Row],[Coil Size]]*Table1[[#This Row],[D10]]/1000*VLOOKUP(Table1[[#This Row],[Navision Code]],'TABULAR PRICE LIST'!A:L,10,FALSE),0)</f>
        <v>0</v>
      </c>
      <c r="Z86" s="118">
        <f>VLOOKUP(C86,'TABULAR PRICE LIST'!$A:$L,12,FALSE)</f>
        <v>25174</v>
      </c>
      <c r="AA86" s="118">
        <f>Table1[[#This Row],[Coil Size]]*Table1[[#This Row],[D10]]/1000</f>
        <v>0</v>
      </c>
      <c r="AB86" s="118">
        <f>Table1[[#This Row],[Weight/KYD]]*Table1[[#This Row],[D10]]</f>
        <v>0</v>
      </c>
      <c r="AC86" s="177"/>
      <c r="AD86" s="118">
        <v>1</v>
      </c>
    </row>
    <row r="87" spans="1:30" ht="18.5" x14ac:dyDescent="0.45">
      <c r="A87" s="189" t="s">
        <v>34</v>
      </c>
      <c r="B87" s="18">
        <f t="shared" si="4"/>
        <v>72</v>
      </c>
      <c r="C87" s="21" t="s">
        <v>218</v>
      </c>
      <c r="D87" s="21" t="s">
        <v>211</v>
      </c>
      <c r="E87" s="21" t="s">
        <v>19</v>
      </c>
      <c r="F87" s="21">
        <v>1</v>
      </c>
      <c r="G87" s="22" t="s">
        <v>212</v>
      </c>
      <c r="H87" s="20">
        <v>150</v>
      </c>
      <c r="I87" s="20"/>
      <c r="J87" s="193"/>
      <c r="K87" s="232"/>
      <c r="L87" s="232"/>
      <c r="M87" s="232"/>
      <c r="N87" s="232"/>
      <c r="O87" s="232"/>
      <c r="P87" s="232"/>
      <c r="Q87" s="232"/>
      <c r="R87" s="232"/>
      <c r="S87" s="261"/>
      <c r="T87" s="232">
        <f>SUM(Table1[[#This Row],[B]:[Blank]])</f>
        <v>0</v>
      </c>
      <c r="U87" s="116">
        <v>1.5249999999999999</v>
      </c>
      <c r="V87" s="118">
        <f t="shared" si="3"/>
        <v>0</v>
      </c>
      <c r="W87" s="118">
        <f>Table1[[#This Row],[SIZE]]*8.89/1000</f>
        <v>1.3334999999999999</v>
      </c>
      <c r="X87" s="111">
        <f>Table1[[#This Row],[Coil Size]]*Table1[[#This Row],[D10]]/1000*VLOOKUP(Table1[[#This Row],[Navision Code]],'TABULAR PRICE LIST'!A:L,11,FALSE)</f>
        <v>0</v>
      </c>
      <c r="Y87" s="118">
        <f>IFERROR(Table1[[#This Row],[Coil Size]]*Table1[[#This Row],[D10]]/1000*VLOOKUP(Table1[[#This Row],[Navision Code]],'TABULAR PRICE LIST'!A:L,10,FALSE),0)</f>
        <v>0</v>
      </c>
      <c r="Z87" s="118">
        <f>VLOOKUP(C87,'TABULAR PRICE LIST'!$A:$L,12,FALSE)</f>
        <v>31759</v>
      </c>
      <c r="AA87" s="118">
        <f>Table1[[#This Row],[Coil Size]]*Table1[[#This Row],[D10]]/1000</f>
        <v>0</v>
      </c>
      <c r="AB87" s="118">
        <f>Table1[[#This Row],[Weight/KYD]]*Table1[[#This Row],[D10]]</f>
        <v>0</v>
      </c>
      <c r="AC87" s="177"/>
      <c r="AD87" s="118">
        <v>1</v>
      </c>
    </row>
    <row r="88" spans="1:30" ht="18.5" x14ac:dyDescent="0.45">
      <c r="A88" s="189" t="s">
        <v>34</v>
      </c>
      <c r="B88" s="18">
        <f t="shared" si="4"/>
        <v>73</v>
      </c>
      <c r="C88" s="21" t="s">
        <v>219</v>
      </c>
      <c r="D88" s="21" t="s">
        <v>211</v>
      </c>
      <c r="E88" s="21" t="s">
        <v>19</v>
      </c>
      <c r="F88" s="21">
        <v>1</v>
      </c>
      <c r="G88" s="22" t="s">
        <v>212</v>
      </c>
      <c r="H88" s="20">
        <v>185</v>
      </c>
      <c r="I88" s="20"/>
      <c r="J88" s="20"/>
      <c r="K88" s="231"/>
      <c r="L88" s="231"/>
      <c r="M88" s="231"/>
      <c r="N88" s="231"/>
      <c r="O88" s="231"/>
      <c r="P88" s="231"/>
      <c r="Q88" s="231"/>
      <c r="R88" s="231"/>
      <c r="S88" s="197"/>
      <c r="T88" s="231">
        <f>SUM(Table1[[#This Row],[B]:[Blank]])</f>
        <v>0</v>
      </c>
      <c r="U88" s="116">
        <v>1.83</v>
      </c>
      <c r="V88" s="118">
        <f t="shared" si="3"/>
        <v>0</v>
      </c>
      <c r="W88" s="118">
        <f>Table1[[#This Row],[SIZE]]*8.89/1000</f>
        <v>1.6446500000000002</v>
      </c>
      <c r="X88" s="111">
        <f>Table1[[#This Row],[Coil Size]]*Table1[[#This Row],[D10]]/1000*VLOOKUP(Table1[[#This Row],[Navision Code]],'TABULAR PRICE LIST'!A:L,11,FALSE)</f>
        <v>0</v>
      </c>
      <c r="Y88" s="118">
        <f>IFERROR(Table1[[#This Row],[Coil Size]]*Table1[[#This Row],[D10]]/1000*VLOOKUP(Table1[[#This Row],[Navision Code]],'TABULAR PRICE LIST'!A:L,10,FALSE),0)</f>
        <v>0</v>
      </c>
      <c r="Z88" s="118">
        <f>VLOOKUP(C88,'TABULAR PRICE LIST'!$A:$L,12,FALSE)</f>
        <v>39512</v>
      </c>
      <c r="AA88" s="118">
        <f>Table1[[#This Row],[Coil Size]]*Table1[[#This Row],[D10]]/1000</f>
        <v>0</v>
      </c>
      <c r="AB88" s="118">
        <f>Table1[[#This Row],[Weight/KYD]]*Table1[[#This Row],[D10]]</f>
        <v>0</v>
      </c>
      <c r="AC88" s="177"/>
      <c r="AD88" s="118">
        <v>1</v>
      </c>
    </row>
    <row r="89" spans="1:30" thickBot="1" x14ac:dyDescent="0.5">
      <c r="A89" s="189" t="s">
        <v>34</v>
      </c>
      <c r="B89" s="18">
        <f t="shared" si="4"/>
        <v>74</v>
      </c>
      <c r="C89" s="40" t="s">
        <v>220</v>
      </c>
      <c r="D89" s="40" t="s">
        <v>211</v>
      </c>
      <c r="E89" s="40" t="s">
        <v>19</v>
      </c>
      <c r="F89" s="40">
        <v>1</v>
      </c>
      <c r="G89" s="41" t="s">
        <v>212</v>
      </c>
      <c r="H89" s="28">
        <v>240</v>
      </c>
      <c r="I89" s="28"/>
      <c r="J89" s="28"/>
      <c r="K89" s="235"/>
      <c r="L89" s="235"/>
      <c r="M89" s="235"/>
      <c r="N89" s="235"/>
      <c r="O89" s="235"/>
      <c r="P89" s="235"/>
      <c r="Q89" s="235"/>
      <c r="R89" s="235"/>
      <c r="S89" s="197"/>
      <c r="T89" s="233">
        <f>SUM(Table1[[#This Row],[B]:[Blank]])</f>
        <v>0</v>
      </c>
      <c r="U89" s="122">
        <v>2.4500000000000002</v>
      </c>
      <c r="V89" s="123">
        <f t="shared" si="3"/>
        <v>0</v>
      </c>
      <c r="W89" s="123">
        <f>Table1[[#This Row],[SIZE]]*8.89/1000</f>
        <v>2.1336000000000004</v>
      </c>
      <c r="X89" s="111">
        <f>Table1[[#This Row],[Coil Size]]*Table1[[#This Row],[D10]]/1000*VLOOKUP(Table1[[#This Row],[Navision Code]],'TABULAR PRICE LIST'!A:L,11,FALSE)</f>
        <v>0</v>
      </c>
      <c r="Y89" s="123">
        <f>IFERROR(Table1[[#This Row],[Coil Size]]*Table1[[#This Row],[D10]]/1000*VLOOKUP(Table1[[#This Row],[Navision Code]],'TABULAR PRICE LIST'!A:L,10,FALSE),0)</f>
        <v>0</v>
      </c>
      <c r="Z89" s="123">
        <f>VLOOKUP(C89,'TABULAR PRICE LIST'!$A:$L,12,FALSE)</f>
        <v>51050</v>
      </c>
      <c r="AA89" s="123">
        <f>Table1[[#This Row],[Coil Size]]*Table1[[#This Row],[D10]]/1000</f>
        <v>0</v>
      </c>
      <c r="AB89" s="123">
        <f>Table1[[#This Row],[Weight/KYD]]*Table1[[#This Row],[D10]]</f>
        <v>0</v>
      </c>
      <c r="AC89" s="177"/>
      <c r="AD89" s="123">
        <v>1</v>
      </c>
    </row>
    <row r="90" spans="1:30" ht="18.5" x14ac:dyDescent="0.45">
      <c r="A90" s="189" t="s">
        <v>34</v>
      </c>
      <c r="B90" s="15">
        <f t="shared" si="4"/>
        <v>75</v>
      </c>
      <c r="C90" s="38" t="s">
        <v>221</v>
      </c>
      <c r="D90" s="38" t="s">
        <v>211</v>
      </c>
      <c r="E90" s="38" t="s">
        <v>19</v>
      </c>
      <c r="F90" s="38">
        <v>1</v>
      </c>
      <c r="G90" s="39" t="s">
        <v>80</v>
      </c>
      <c r="H90" s="39">
        <v>50</v>
      </c>
      <c r="I90" s="17"/>
      <c r="J90" s="237"/>
      <c r="K90" s="262"/>
      <c r="L90" s="262"/>
      <c r="M90" s="262"/>
      <c r="N90" s="262"/>
      <c r="O90" s="262"/>
      <c r="P90" s="262"/>
      <c r="Q90" s="262"/>
      <c r="R90" s="262"/>
      <c r="S90" s="263"/>
      <c r="T90" s="231">
        <f>SUM(Table1[[#This Row],[B]:[Blank]])</f>
        <v>0</v>
      </c>
      <c r="U90" s="114">
        <v>0.54713612234481701</v>
      </c>
      <c r="V90" s="115">
        <f t="shared" si="3"/>
        <v>0</v>
      </c>
      <c r="W90" s="115">
        <f>Table1[[#This Row],[SIZE]]*8.89/1000</f>
        <v>0.44450000000000001</v>
      </c>
      <c r="X90" s="111">
        <f>Table1[[#This Row],[Coil Size]]*Table1[[#This Row],[D10]]/1000*VLOOKUP(Table1[[#This Row],[Navision Code]],'TABULAR PRICE LIST'!A:L,11,FALSE)</f>
        <v>0</v>
      </c>
      <c r="Y90" s="136">
        <f>IFERROR(Table1[[#This Row],[Coil Size]]*Table1[[#This Row],[D10]]/1000*VLOOKUP(Table1[[#This Row],[Navision Code]],'TABULAR PRICE LIST'!A:L,10,FALSE),0)</f>
        <v>0</v>
      </c>
      <c r="Z90" s="136">
        <f>VLOOKUP(C90,'TABULAR PRICE LIST'!$A:$L,12,FALSE)</f>
        <v>10786</v>
      </c>
      <c r="AA90" s="136">
        <f>Table1[[#This Row],[Coil Size]]*Table1[[#This Row],[D10]]/1000</f>
        <v>0</v>
      </c>
      <c r="AB90" s="115">
        <f>Table1[[#This Row],[Weight/KYD]]*Table1[[#This Row],[D10]]</f>
        <v>0</v>
      </c>
      <c r="AC90" s="177"/>
      <c r="AD90" s="115">
        <v>1</v>
      </c>
    </row>
    <row r="91" spans="1:30" ht="18.5" x14ac:dyDescent="0.45">
      <c r="A91" s="189" t="s">
        <v>34</v>
      </c>
      <c r="B91" s="18">
        <f t="shared" si="4"/>
        <v>76</v>
      </c>
      <c r="C91" s="21" t="s">
        <v>222</v>
      </c>
      <c r="D91" s="21" t="s">
        <v>211</v>
      </c>
      <c r="E91" s="21" t="s">
        <v>19</v>
      </c>
      <c r="F91" s="21">
        <v>1</v>
      </c>
      <c r="G91" s="22" t="s">
        <v>80</v>
      </c>
      <c r="H91" s="22">
        <v>70</v>
      </c>
      <c r="I91" s="20"/>
      <c r="J91" s="20"/>
      <c r="K91" s="233"/>
      <c r="L91" s="233"/>
      <c r="M91" s="233"/>
      <c r="N91" s="233"/>
      <c r="O91" s="233"/>
      <c r="P91" s="233"/>
      <c r="Q91" s="233"/>
      <c r="R91" s="233"/>
      <c r="S91" s="193"/>
      <c r="T91" s="233">
        <f>SUM(Table1[[#This Row],[B]:[Blank]])</f>
        <v>0</v>
      </c>
      <c r="U91" s="116">
        <v>0.73558127616441593</v>
      </c>
      <c r="V91" s="118">
        <f t="shared" si="3"/>
        <v>0</v>
      </c>
      <c r="W91" s="118">
        <f>Table1[[#This Row],[SIZE]]*8.89/1000</f>
        <v>0.62230000000000008</v>
      </c>
      <c r="X91" s="111">
        <f>Table1[[#This Row],[Coil Size]]*Table1[[#This Row],[D10]]/1000*VLOOKUP(Table1[[#This Row],[Navision Code]],'TABULAR PRICE LIST'!A:L,11,FALSE)</f>
        <v>0</v>
      </c>
      <c r="Y91" s="118">
        <f>IFERROR(Table1[[#This Row],[Coil Size]]*Table1[[#This Row],[D10]]/1000*VLOOKUP(Table1[[#This Row],[Navision Code]],'TABULAR PRICE LIST'!A:L,10,FALSE),0)</f>
        <v>0</v>
      </c>
      <c r="Z91" s="118">
        <f>VLOOKUP(C91,'TABULAR PRICE LIST'!$A:$L,12,FALSE)</f>
        <v>15247</v>
      </c>
      <c r="AA91" s="118">
        <f>Table1[[#This Row],[Coil Size]]*Table1[[#This Row],[D10]]/1000</f>
        <v>0</v>
      </c>
      <c r="AB91" s="118">
        <f>Table1[[#This Row],[Weight/KYD]]*Table1[[#This Row],[D10]]</f>
        <v>0</v>
      </c>
      <c r="AC91" s="177"/>
      <c r="AD91" s="118">
        <v>1</v>
      </c>
    </row>
    <row r="92" spans="1:30" ht="18.5" x14ac:dyDescent="0.45">
      <c r="A92" s="189" t="s">
        <v>34</v>
      </c>
      <c r="B92" s="18">
        <f t="shared" si="4"/>
        <v>77</v>
      </c>
      <c r="C92" s="21" t="s">
        <v>223</v>
      </c>
      <c r="D92" s="21" t="s">
        <v>211</v>
      </c>
      <c r="E92" s="21" t="s">
        <v>19</v>
      </c>
      <c r="F92" s="21">
        <v>1</v>
      </c>
      <c r="G92" s="22" t="s">
        <v>80</v>
      </c>
      <c r="H92" s="22">
        <v>95</v>
      </c>
      <c r="I92" s="20"/>
      <c r="J92" s="20"/>
      <c r="K92" s="230"/>
      <c r="L92" s="230"/>
      <c r="M92" s="230"/>
      <c r="N92" s="230"/>
      <c r="O92" s="230"/>
      <c r="P92" s="230"/>
      <c r="Q92" s="230"/>
      <c r="R92" s="230"/>
      <c r="S92" s="193"/>
      <c r="T92" s="230">
        <f>SUM(Table1[[#This Row],[B]:[Blank]])</f>
        <v>0</v>
      </c>
      <c r="U92" s="116">
        <v>0.94333333333333336</v>
      </c>
      <c r="V92" s="118">
        <f t="shared" si="3"/>
        <v>0</v>
      </c>
      <c r="W92" s="118">
        <f>Table1[[#This Row],[SIZE]]*8.89/1000</f>
        <v>0.84455000000000002</v>
      </c>
      <c r="X92" s="111">
        <f>Table1[[#This Row],[Coil Size]]*Table1[[#This Row],[D10]]/1000*VLOOKUP(Table1[[#This Row],[Navision Code]],'TABULAR PRICE LIST'!A:L,11,FALSE)</f>
        <v>0</v>
      </c>
      <c r="Y92" s="118">
        <f>IFERROR(Table1[[#This Row],[Coil Size]]*Table1[[#This Row],[D10]]/1000*VLOOKUP(Table1[[#This Row],[Navision Code]],'TABULAR PRICE LIST'!A:L,10,FALSE),0)</f>
        <v>0</v>
      </c>
      <c r="Z92" s="118">
        <f>VLOOKUP(C92,'TABULAR PRICE LIST'!$A:$L,12,FALSE)</f>
        <v>20943</v>
      </c>
      <c r="AA92" s="118">
        <f>Table1[[#This Row],[Coil Size]]*Table1[[#This Row],[D10]]/1000</f>
        <v>0</v>
      </c>
      <c r="AB92" s="118">
        <f>Table1[[#This Row],[Weight/KYD]]*Table1[[#This Row],[D10]]</f>
        <v>0</v>
      </c>
      <c r="AC92" s="177"/>
      <c r="AD92" s="118">
        <v>1</v>
      </c>
    </row>
    <row r="93" spans="1:30" ht="18.5" x14ac:dyDescent="0.45">
      <c r="A93" s="189" t="s">
        <v>34</v>
      </c>
      <c r="B93" s="18">
        <f t="shared" si="4"/>
        <v>78</v>
      </c>
      <c r="C93" s="21" t="s">
        <v>224</v>
      </c>
      <c r="D93" s="21" t="s">
        <v>211</v>
      </c>
      <c r="E93" s="21" t="s">
        <v>19</v>
      </c>
      <c r="F93" s="21">
        <v>1</v>
      </c>
      <c r="G93" s="22" t="s">
        <v>80</v>
      </c>
      <c r="H93" s="22">
        <v>120</v>
      </c>
      <c r="I93" s="20"/>
      <c r="J93" s="20"/>
      <c r="K93" s="234"/>
      <c r="L93" s="234"/>
      <c r="M93" s="234"/>
      <c r="N93" s="234"/>
      <c r="O93" s="234"/>
      <c r="P93" s="234"/>
      <c r="Q93" s="234"/>
      <c r="R93" s="234"/>
      <c r="S93" s="264"/>
      <c r="T93" s="234">
        <f>SUM(Table1[[#This Row],[B]:[Blank]])</f>
        <v>0</v>
      </c>
      <c r="U93" s="116">
        <v>1.2538095238095237</v>
      </c>
      <c r="V93" s="118">
        <f t="shared" si="3"/>
        <v>0</v>
      </c>
      <c r="W93" s="118">
        <f>Table1[[#This Row],[SIZE]]*8.89/1000</f>
        <v>1.0668000000000002</v>
      </c>
      <c r="X93" s="111">
        <f>Table1[[#This Row],[Coil Size]]*Table1[[#This Row],[D10]]/1000*VLOOKUP(Table1[[#This Row],[Navision Code]],'TABULAR PRICE LIST'!A:L,11,FALSE)</f>
        <v>0</v>
      </c>
      <c r="Y93" s="118">
        <f>IFERROR(Table1[[#This Row],[Coil Size]]*Table1[[#This Row],[D10]]/1000*VLOOKUP(Table1[[#This Row],[Navision Code]],'TABULAR PRICE LIST'!A:L,10,FALSE),0)</f>
        <v>0</v>
      </c>
      <c r="Z93" s="118">
        <f>VLOOKUP(C93,'TABULAR PRICE LIST'!$A:$L,12,FALSE)</f>
        <v>26463</v>
      </c>
      <c r="AA93" s="118">
        <f>Table1[[#This Row],[Coil Size]]*Table1[[#This Row],[D10]]/1000</f>
        <v>0</v>
      </c>
      <c r="AB93" s="118">
        <f>Table1[[#This Row],[Weight/KYD]]*Table1[[#This Row],[D10]]</f>
        <v>0</v>
      </c>
      <c r="AC93" s="177"/>
      <c r="AD93" s="118">
        <v>1</v>
      </c>
    </row>
    <row r="94" spans="1:30" ht="18.5" x14ac:dyDescent="0.45">
      <c r="A94" s="189" t="s">
        <v>34</v>
      </c>
      <c r="B94" s="18">
        <f t="shared" si="4"/>
        <v>79</v>
      </c>
      <c r="C94" s="21" t="s">
        <v>225</v>
      </c>
      <c r="D94" s="21" t="s">
        <v>211</v>
      </c>
      <c r="E94" s="21" t="s">
        <v>19</v>
      </c>
      <c r="F94" s="21">
        <v>1</v>
      </c>
      <c r="G94" s="22" t="s">
        <v>80</v>
      </c>
      <c r="H94" s="22">
        <v>150</v>
      </c>
      <c r="I94" s="20"/>
      <c r="J94" s="20"/>
      <c r="K94" s="233"/>
      <c r="L94" s="233"/>
      <c r="M94" s="233"/>
      <c r="N94" s="233"/>
      <c r="O94" s="233"/>
      <c r="P94" s="233"/>
      <c r="Q94" s="233"/>
      <c r="R94" s="233"/>
      <c r="S94" s="193"/>
      <c r="T94" s="233">
        <f>SUM(Table1[[#This Row],[B]:[Blank]])</f>
        <v>0</v>
      </c>
      <c r="U94" s="116">
        <v>1.5</v>
      </c>
      <c r="V94" s="118">
        <f t="shared" si="3"/>
        <v>0</v>
      </c>
      <c r="W94" s="118">
        <f>Table1[[#This Row],[SIZE]]*8.89/1000</f>
        <v>1.3334999999999999</v>
      </c>
      <c r="X94" s="111">
        <f>Table1[[#This Row],[Coil Size]]*Table1[[#This Row],[D10]]/1000*VLOOKUP(Table1[[#This Row],[Navision Code]],'TABULAR PRICE LIST'!A:L,11,FALSE)</f>
        <v>0</v>
      </c>
      <c r="Y94" s="118">
        <f>IFERROR(Table1[[#This Row],[Coil Size]]*Table1[[#This Row],[D10]]/1000*VLOOKUP(Table1[[#This Row],[Navision Code]],'TABULAR PRICE LIST'!A:L,10,FALSE),0)</f>
        <v>0</v>
      </c>
      <c r="Z94" s="118">
        <f>VLOOKUP(C94,'TABULAR PRICE LIST'!$A:$L,12,FALSE)</f>
        <v>31895</v>
      </c>
      <c r="AA94" s="118">
        <f>Table1[[#This Row],[Coil Size]]*Table1[[#This Row],[D10]]/1000</f>
        <v>0</v>
      </c>
      <c r="AB94" s="118">
        <f>Table1[[#This Row],[Weight/KYD]]*Table1[[#This Row],[D10]]</f>
        <v>0</v>
      </c>
      <c r="AC94" s="177"/>
      <c r="AD94" s="118">
        <v>1</v>
      </c>
    </row>
    <row r="95" spans="1:30" ht="18.5" x14ac:dyDescent="0.45">
      <c r="A95" s="189" t="s">
        <v>34</v>
      </c>
      <c r="B95" s="18">
        <f t="shared" si="4"/>
        <v>80</v>
      </c>
      <c r="C95" s="21" t="s">
        <v>226</v>
      </c>
      <c r="D95" s="21" t="s">
        <v>211</v>
      </c>
      <c r="E95" s="21" t="s">
        <v>19</v>
      </c>
      <c r="F95" s="21">
        <v>1</v>
      </c>
      <c r="G95" s="22" t="s">
        <v>80</v>
      </c>
      <c r="H95" s="22">
        <v>185</v>
      </c>
      <c r="I95" s="20"/>
      <c r="J95" s="29"/>
      <c r="K95" s="230"/>
      <c r="L95" s="230"/>
      <c r="M95" s="230"/>
      <c r="N95" s="230"/>
      <c r="O95" s="230"/>
      <c r="P95" s="230"/>
      <c r="Q95" s="230"/>
      <c r="R95" s="230"/>
      <c r="S95" s="193"/>
      <c r="T95" s="230">
        <f>SUM(Table1[[#This Row],[B]:[Blank]])</f>
        <v>0</v>
      </c>
      <c r="U95" s="116">
        <v>1.86</v>
      </c>
      <c r="V95" s="118">
        <f t="shared" si="3"/>
        <v>0</v>
      </c>
      <c r="W95" s="118">
        <f>Table1[[#This Row],[SIZE]]*8.89/1000</f>
        <v>1.6446500000000002</v>
      </c>
      <c r="X95" s="111">
        <f>Table1[[#This Row],[Coil Size]]*Table1[[#This Row],[D10]]/1000*VLOOKUP(Table1[[#This Row],[Navision Code]],'TABULAR PRICE LIST'!A:L,11,FALSE)</f>
        <v>0</v>
      </c>
      <c r="Y95" s="118">
        <f>IFERROR(Table1[[#This Row],[Coil Size]]*Table1[[#This Row],[D10]]/1000*VLOOKUP(Table1[[#This Row],[Navision Code]],'TABULAR PRICE LIST'!A:L,10,FALSE),0)</f>
        <v>0</v>
      </c>
      <c r="Z95" s="118">
        <f>VLOOKUP(C95,'TABULAR PRICE LIST'!$A:$L,12,FALSE)</f>
        <v>42011</v>
      </c>
      <c r="AA95" s="118">
        <f>Table1[[#This Row],[Coil Size]]*Table1[[#This Row],[D10]]/1000</f>
        <v>0</v>
      </c>
      <c r="AB95" s="118">
        <f>Table1[[#This Row],[Weight/KYD]]*Table1[[#This Row],[D10]]</f>
        <v>0</v>
      </c>
      <c r="AC95" s="177"/>
      <c r="AD95" s="118">
        <v>1</v>
      </c>
    </row>
    <row r="96" spans="1:30" thickBot="1" x14ac:dyDescent="0.5">
      <c r="A96" s="189" t="s">
        <v>34</v>
      </c>
      <c r="B96" s="23">
        <f t="shared" si="4"/>
        <v>81</v>
      </c>
      <c r="C96" s="30" t="s">
        <v>227</v>
      </c>
      <c r="D96" s="30" t="s">
        <v>211</v>
      </c>
      <c r="E96" s="30" t="s">
        <v>19</v>
      </c>
      <c r="F96" s="30">
        <v>1</v>
      </c>
      <c r="G96" s="31" t="s">
        <v>80</v>
      </c>
      <c r="H96" s="31">
        <v>240</v>
      </c>
      <c r="I96" s="25"/>
      <c r="J96" s="25"/>
      <c r="K96" s="259"/>
      <c r="L96" s="259"/>
      <c r="M96" s="259"/>
      <c r="N96" s="259"/>
      <c r="O96" s="259"/>
      <c r="P96" s="259"/>
      <c r="Q96" s="259"/>
      <c r="R96" s="259"/>
      <c r="S96" s="195"/>
      <c r="T96" s="233">
        <f>SUM(Table1[[#This Row],[B]:[Blank]])</f>
        <v>0</v>
      </c>
      <c r="U96" s="119">
        <v>2.4873611820623678</v>
      </c>
      <c r="V96" s="120">
        <f t="shared" si="3"/>
        <v>0</v>
      </c>
      <c r="W96" s="120">
        <f>Table1[[#This Row],[SIZE]]*8.89/1000</f>
        <v>2.1336000000000004</v>
      </c>
      <c r="X96" s="111">
        <f>Table1[[#This Row],[Coil Size]]*Table1[[#This Row],[D10]]/1000*VLOOKUP(Table1[[#This Row],[Navision Code]],'TABULAR PRICE LIST'!A:L,11,FALSE)</f>
        <v>0</v>
      </c>
      <c r="Y96" s="120">
        <f>IFERROR(Table1[[#This Row],[Coil Size]]*Table1[[#This Row],[D10]]/1000*VLOOKUP(Table1[[#This Row],[Navision Code]],'TABULAR PRICE LIST'!A:L,10,FALSE),0)</f>
        <v>0</v>
      </c>
      <c r="Z96" s="120">
        <f>VLOOKUP(C96,'TABULAR PRICE LIST'!$A:$L,12,FALSE)</f>
        <v>51937</v>
      </c>
      <c r="AA96" s="120">
        <f>Table1[[#This Row],[Coil Size]]*Table1[[#This Row],[D10]]/1000</f>
        <v>0</v>
      </c>
      <c r="AB96" s="120">
        <f>Table1[[#This Row],[Weight/KYD]]*Table1[[#This Row],[D10]]</f>
        <v>0</v>
      </c>
      <c r="AC96" s="177"/>
      <c r="AD96" s="120">
        <v>1</v>
      </c>
    </row>
    <row r="97" spans="1:30" ht="18.5" x14ac:dyDescent="0.45">
      <c r="A97" s="189" t="s">
        <v>34</v>
      </c>
      <c r="B97" s="15">
        <f t="shared" si="4"/>
        <v>82</v>
      </c>
      <c r="C97" s="38" t="s">
        <v>156</v>
      </c>
      <c r="D97" s="38" t="s">
        <v>211</v>
      </c>
      <c r="E97" s="38" t="s">
        <v>19</v>
      </c>
      <c r="F97" s="38">
        <v>1</v>
      </c>
      <c r="G97" s="39" t="s">
        <v>157</v>
      </c>
      <c r="H97" s="39" t="s">
        <v>158</v>
      </c>
      <c r="I97" s="17"/>
      <c r="J97" s="34"/>
      <c r="K97" s="265"/>
      <c r="L97" s="265"/>
      <c r="M97" s="265"/>
      <c r="N97" s="265"/>
      <c r="O97" s="265"/>
      <c r="P97" s="265"/>
      <c r="Q97" s="265"/>
      <c r="R97" s="265"/>
      <c r="S97" s="199"/>
      <c r="T97" s="230">
        <f>SUM(Table1[[#This Row],[B]:[Blank]])</f>
        <v>0</v>
      </c>
      <c r="U97" s="114">
        <v>0.11700000000000001</v>
      </c>
      <c r="V97" s="115">
        <f t="shared" si="3"/>
        <v>0</v>
      </c>
      <c r="W97" s="191">
        <v>26.16</v>
      </c>
      <c r="X97" s="111">
        <f>Table1[[#This Row],[Coil Size]]*Table1[[#This Row],[D10]]/1000*VLOOKUP(Table1[[#This Row],[Navision Code]],'TABULAR PRICE LIST'!A:L,11,FALSE)</f>
        <v>0</v>
      </c>
      <c r="Y97" s="113">
        <f>IFERROR(Table1[[#This Row],[Coil Size]]*Table1[[#This Row],[D10]]/1000*VLOOKUP(Table1[[#This Row],[Navision Code]],'TABULAR PRICE LIST'!A:L,10,FALSE),0)</f>
        <v>0</v>
      </c>
      <c r="Z97" s="113">
        <f>VLOOKUP(C97,'TABULAR PRICE LIST'!$A:$L,12,FALSE)</f>
        <v>1111</v>
      </c>
      <c r="AA97" s="113">
        <f>Table1[[#This Row],[Coil Size]]*Table1[[#This Row],[D10]]/1000</f>
        <v>0</v>
      </c>
      <c r="AB97" s="191">
        <f>Table1[[#This Row],[Weight/KYD]]*Table1[[#This Row],[D10]]</f>
        <v>0</v>
      </c>
      <c r="AC97" s="177"/>
      <c r="AD97" s="191">
        <v>1</v>
      </c>
    </row>
    <row r="98" spans="1:30" ht="18.5" x14ac:dyDescent="0.45">
      <c r="A98" s="189" t="s">
        <v>34</v>
      </c>
      <c r="B98" s="18">
        <f t="shared" si="4"/>
        <v>83</v>
      </c>
      <c r="C98" s="21" t="s">
        <v>159</v>
      </c>
      <c r="D98" s="21" t="s">
        <v>211</v>
      </c>
      <c r="E98" s="21" t="s">
        <v>19</v>
      </c>
      <c r="F98" s="21">
        <v>1</v>
      </c>
      <c r="G98" s="22" t="s">
        <v>157</v>
      </c>
      <c r="H98" s="22" t="s">
        <v>160</v>
      </c>
      <c r="I98" s="20"/>
      <c r="J98" s="28"/>
      <c r="K98" s="235"/>
      <c r="L98" s="235"/>
      <c r="M98" s="235"/>
      <c r="N98" s="235"/>
      <c r="O98" s="235"/>
      <c r="P98" s="235"/>
      <c r="Q98" s="235"/>
      <c r="R98" s="235"/>
      <c r="S98" s="197"/>
      <c r="T98" s="235">
        <f>SUM(Table1[[#This Row],[B]:[Blank]])</f>
        <v>0</v>
      </c>
      <c r="U98" s="116">
        <v>0.16</v>
      </c>
      <c r="V98" s="118">
        <f t="shared" si="3"/>
        <v>0</v>
      </c>
      <c r="W98" s="111">
        <v>43.53</v>
      </c>
      <c r="X98" s="111">
        <f>Table1[[#This Row],[Coil Size]]*Table1[[#This Row],[D10]]/1000*VLOOKUP(Table1[[#This Row],[Navision Code]],'TABULAR PRICE LIST'!A:L,11,FALSE)</f>
        <v>0</v>
      </c>
      <c r="Y98" s="111">
        <f>IFERROR(Table1[[#This Row],[Coil Size]]*Table1[[#This Row],[D10]]/1000*VLOOKUP(Table1[[#This Row],[Navision Code]],'TABULAR PRICE LIST'!A:L,10,FALSE),0)</f>
        <v>0</v>
      </c>
      <c r="Z98" s="111">
        <f>VLOOKUP(C98,'TABULAR PRICE LIST'!$A:$L,12,FALSE)</f>
        <v>1725</v>
      </c>
      <c r="AA98" s="111">
        <f>Table1[[#This Row],[Coil Size]]*Table1[[#This Row],[D10]]/1000</f>
        <v>0</v>
      </c>
      <c r="AB98" s="111">
        <f>Table1[[#This Row],[Weight/KYD]]*Table1[[#This Row],[D10]]</f>
        <v>0</v>
      </c>
      <c r="AC98" s="177"/>
      <c r="AD98" s="111">
        <v>1</v>
      </c>
    </row>
    <row r="99" spans="1:30" ht="18.5" x14ac:dyDescent="0.45">
      <c r="A99" s="189" t="s">
        <v>34</v>
      </c>
      <c r="B99" s="18">
        <f t="shared" si="4"/>
        <v>84</v>
      </c>
      <c r="C99" s="21" t="s">
        <v>161</v>
      </c>
      <c r="D99" s="21" t="s">
        <v>211</v>
      </c>
      <c r="E99" s="21" t="s">
        <v>19</v>
      </c>
      <c r="F99" s="21">
        <v>1</v>
      </c>
      <c r="G99" s="22" t="s">
        <v>157</v>
      </c>
      <c r="H99" s="22" t="s">
        <v>132</v>
      </c>
      <c r="I99" s="20"/>
      <c r="J99" s="20"/>
      <c r="K99" s="233"/>
      <c r="L99" s="233"/>
      <c r="M99" s="233"/>
      <c r="N99" s="233"/>
      <c r="O99" s="233"/>
      <c r="P99" s="233"/>
      <c r="Q99" s="233"/>
      <c r="R99" s="233"/>
      <c r="S99" s="193"/>
      <c r="T99" s="238">
        <f>SUM(Table1[[#This Row],[B]:[Blank]])</f>
        <v>0</v>
      </c>
      <c r="U99" s="116">
        <v>0.2</v>
      </c>
      <c r="V99" s="118">
        <f t="shared" si="3"/>
        <v>0</v>
      </c>
      <c r="W99" s="111">
        <v>68.38</v>
      </c>
      <c r="X99" s="111">
        <f>Table1[[#This Row],[Coil Size]]*Table1[[#This Row],[D10]]/1000*VLOOKUP(Table1[[#This Row],[Navision Code]],'TABULAR PRICE LIST'!A:L,11,FALSE)</f>
        <v>0</v>
      </c>
      <c r="Y99" s="111">
        <f>IFERROR(Table1[[#This Row],[Coil Size]]*Table1[[#This Row],[D10]]/1000*VLOOKUP(Table1[[#This Row],[Navision Code]],'TABULAR PRICE LIST'!A:L,10,FALSE),0)</f>
        <v>0</v>
      </c>
      <c r="Z99" s="111">
        <f>VLOOKUP(C99,'TABULAR PRICE LIST'!$A:$L,12,FALSE)</f>
        <v>2338</v>
      </c>
      <c r="AA99" s="111">
        <f>Table1[[#This Row],[Coil Size]]*Table1[[#This Row],[D10]]/1000</f>
        <v>0</v>
      </c>
      <c r="AB99" s="111">
        <f>Table1[[#This Row],[Weight/KYD]]*Table1[[#This Row],[D10]]</f>
        <v>0</v>
      </c>
      <c r="AC99" s="177"/>
      <c r="AD99" s="111">
        <v>1</v>
      </c>
    </row>
    <row r="100" spans="1:30" ht="18.5" x14ac:dyDescent="0.45">
      <c r="A100" s="189" t="s">
        <v>34</v>
      </c>
      <c r="B100" s="18">
        <f t="shared" si="4"/>
        <v>85</v>
      </c>
      <c r="C100" s="21" t="s">
        <v>162</v>
      </c>
      <c r="D100" s="21" t="s">
        <v>211</v>
      </c>
      <c r="E100" s="21" t="s">
        <v>19</v>
      </c>
      <c r="F100" s="21">
        <v>1</v>
      </c>
      <c r="G100" s="22" t="s">
        <v>157</v>
      </c>
      <c r="H100" s="22" t="s">
        <v>134</v>
      </c>
      <c r="I100" s="20"/>
      <c r="J100" s="20"/>
      <c r="K100" s="230"/>
      <c r="L100" s="230"/>
      <c r="M100" s="230"/>
      <c r="N100" s="230"/>
      <c r="O100" s="230"/>
      <c r="P100" s="230"/>
      <c r="Q100" s="230"/>
      <c r="R100" s="230"/>
      <c r="S100" s="193"/>
      <c r="T100" s="230">
        <f>SUM(Table1[[#This Row],[B]:[Blank]])</f>
        <v>0</v>
      </c>
      <c r="U100" s="116">
        <v>0.26200000000000001</v>
      </c>
      <c r="V100" s="118">
        <f t="shared" si="3"/>
        <v>0</v>
      </c>
      <c r="W100" s="111">
        <v>102</v>
      </c>
      <c r="X100" s="111">
        <f>Table1[[#This Row],[Coil Size]]*Table1[[#This Row],[D10]]/1000*VLOOKUP(Table1[[#This Row],[Navision Code]],'TABULAR PRICE LIST'!A:L,11,FALSE)</f>
        <v>0</v>
      </c>
      <c r="Y100" s="111">
        <f>IFERROR(Table1[[#This Row],[Coil Size]]*Table1[[#This Row],[D10]]/1000*VLOOKUP(Table1[[#This Row],[Navision Code]],'TABULAR PRICE LIST'!A:L,10,FALSE),0)</f>
        <v>0</v>
      </c>
      <c r="Z100" s="111">
        <f>VLOOKUP(C100,'TABULAR PRICE LIST'!$A:$L,12,FALSE)</f>
        <v>3051</v>
      </c>
      <c r="AA100" s="111">
        <f>Table1[[#This Row],[Coil Size]]*Table1[[#This Row],[D10]]/1000</f>
        <v>0</v>
      </c>
      <c r="AB100" s="111">
        <f>Table1[[#This Row],[Weight/KYD]]*Table1[[#This Row],[D10]]</f>
        <v>0</v>
      </c>
      <c r="AC100" s="177"/>
      <c r="AD100" s="111">
        <v>1</v>
      </c>
    </row>
    <row r="101" spans="1:30" ht="18.5" x14ac:dyDescent="0.45">
      <c r="A101" s="189" t="s">
        <v>34</v>
      </c>
      <c r="B101" s="18">
        <f>B100+1</f>
        <v>86</v>
      </c>
      <c r="C101" s="21" t="s">
        <v>163</v>
      </c>
      <c r="D101" s="21" t="s">
        <v>211</v>
      </c>
      <c r="E101" s="21" t="s">
        <v>19</v>
      </c>
      <c r="F101" s="21">
        <v>1</v>
      </c>
      <c r="G101" s="22" t="s">
        <v>157</v>
      </c>
      <c r="H101" s="22" t="s">
        <v>164</v>
      </c>
      <c r="I101" s="20"/>
      <c r="J101" s="20"/>
      <c r="K101" s="193"/>
      <c r="L101" s="230"/>
      <c r="M101" s="230"/>
      <c r="N101" s="230"/>
      <c r="O101" s="230"/>
      <c r="P101" s="230"/>
      <c r="Q101" s="230"/>
      <c r="R101" s="230"/>
      <c r="S101" s="193"/>
      <c r="T101" s="230">
        <f>SUM(Table1[[#This Row],[B]:[Blank]])</f>
        <v>0</v>
      </c>
      <c r="U101" s="116">
        <v>0.13</v>
      </c>
      <c r="V101" s="118">
        <f t="shared" si="3"/>
        <v>0</v>
      </c>
      <c r="W101" s="111">
        <v>39.24</v>
      </c>
      <c r="X101" s="111">
        <f>Table1[[#This Row],[Coil Size]]*Table1[[#This Row],[D10]]/1000*VLOOKUP(Table1[[#This Row],[Navision Code]],'TABULAR PRICE LIST'!A:L,11,FALSE)</f>
        <v>0</v>
      </c>
      <c r="Y101" s="111">
        <f>IFERROR(Table1[[#This Row],[Coil Size]]*Table1[[#This Row],[D10]]/1000*VLOOKUP(Table1[[#This Row],[Navision Code]],'TABULAR PRICE LIST'!A:L,10,FALSE),0)</f>
        <v>0</v>
      </c>
      <c r="Z101" s="111">
        <f>VLOOKUP(C101,'TABULAR PRICE LIST'!$A:$L,12,FALSE)</f>
        <v>1461</v>
      </c>
      <c r="AA101" s="111">
        <f>Table1[[#This Row],[Coil Size]]*Table1[[#This Row],[D10]]/1000</f>
        <v>0</v>
      </c>
      <c r="AB101" s="111">
        <f>Table1[[#This Row],[Weight/KYD]]*Table1[[#This Row],[D10]]</f>
        <v>0</v>
      </c>
      <c r="AC101" s="177"/>
      <c r="AD101" s="111">
        <v>1</v>
      </c>
    </row>
    <row r="102" spans="1:30" ht="18.5" x14ac:dyDescent="0.45">
      <c r="A102" s="189" t="s">
        <v>34</v>
      </c>
      <c r="B102" s="18">
        <f t="shared" si="4"/>
        <v>87</v>
      </c>
      <c r="C102" s="21" t="s">
        <v>18</v>
      </c>
      <c r="D102" s="21" t="s">
        <v>211</v>
      </c>
      <c r="E102" s="21" t="s">
        <v>19</v>
      </c>
      <c r="F102" s="21">
        <v>1</v>
      </c>
      <c r="G102" s="22" t="s">
        <v>157</v>
      </c>
      <c r="H102" s="22" t="s">
        <v>165</v>
      </c>
      <c r="I102" s="20"/>
      <c r="J102" s="230"/>
      <c r="K102" s="233"/>
      <c r="L102" s="233"/>
      <c r="M102" s="233"/>
      <c r="N102" s="233"/>
      <c r="O102" s="233"/>
      <c r="P102" s="233"/>
      <c r="Q102" s="233"/>
      <c r="R102" s="233"/>
      <c r="S102" s="193"/>
      <c r="T102" s="233">
        <f>SUM(Table1[[#This Row],[B]:[Blank]])</f>
        <v>0</v>
      </c>
      <c r="U102" s="116">
        <v>0.18</v>
      </c>
      <c r="V102" s="118">
        <f t="shared" si="3"/>
        <v>0</v>
      </c>
      <c r="W102" s="111">
        <v>65.3</v>
      </c>
      <c r="X102" s="111">
        <f>Table1[[#This Row],[Coil Size]]*Table1[[#This Row],[D10]]/1000*VLOOKUP(Table1[[#This Row],[Navision Code]],'TABULAR PRICE LIST'!A:L,11,FALSE)</f>
        <v>0</v>
      </c>
      <c r="Y102" s="111">
        <f>IFERROR(Table1[[#This Row],[Coil Size]]*Table1[[#This Row],[D10]]/1000*VLOOKUP(Table1[[#This Row],[Navision Code]],'TABULAR PRICE LIST'!A:L,10,FALSE),0)</f>
        <v>0</v>
      </c>
      <c r="Z102" s="111">
        <f>VLOOKUP(C102,'TABULAR PRICE LIST'!$A:$L,12,FALSE)</f>
        <v>1851</v>
      </c>
      <c r="AA102" s="111">
        <f>Table1[[#This Row],[Coil Size]]*Table1[[#This Row],[D10]]/1000</f>
        <v>0</v>
      </c>
      <c r="AB102" s="111">
        <f>Table1[[#This Row],[Weight/KYD]]*Table1[[#This Row],[D10]]</f>
        <v>0</v>
      </c>
      <c r="AC102" s="177"/>
      <c r="AD102" s="111">
        <v>1</v>
      </c>
    </row>
    <row r="103" spans="1:30" ht="18.5" x14ac:dyDescent="0.45">
      <c r="A103" s="189" t="s">
        <v>34</v>
      </c>
      <c r="B103" s="18">
        <f t="shared" si="4"/>
        <v>88</v>
      </c>
      <c r="C103" s="21" t="s">
        <v>166</v>
      </c>
      <c r="D103" s="21" t="s">
        <v>211</v>
      </c>
      <c r="E103" s="21" t="s">
        <v>19</v>
      </c>
      <c r="F103" s="21">
        <v>1</v>
      </c>
      <c r="G103" s="22" t="s">
        <v>157</v>
      </c>
      <c r="H103" s="22" t="s">
        <v>142</v>
      </c>
      <c r="I103" s="20"/>
      <c r="J103" s="20"/>
      <c r="K103" s="232"/>
      <c r="L103" s="232"/>
      <c r="M103" s="232"/>
      <c r="N103" s="233"/>
      <c r="O103" s="232"/>
      <c r="P103" s="232"/>
      <c r="Q103" s="232"/>
      <c r="R103" s="232"/>
      <c r="S103" s="199"/>
      <c r="T103" s="232">
        <f>SUM(Table1[[#This Row],[B]:[Blank]])</f>
        <v>0</v>
      </c>
      <c r="U103" s="116">
        <v>0.26</v>
      </c>
      <c r="V103" s="118">
        <f t="shared" si="3"/>
        <v>0</v>
      </c>
      <c r="W103" s="111">
        <v>102.6</v>
      </c>
      <c r="X103" s="111">
        <f>Table1[[#This Row],[Coil Size]]*Table1[[#This Row],[D10]]/1000*VLOOKUP(Table1[[#This Row],[Navision Code]],'TABULAR PRICE LIST'!A:L,11,FALSE)</f>
        <v>0</v>
      </c>
      <c r="Y103" s="111">
        <f>IFERROR(Table1[[#This Row],[Coil Size]]*Table1[[#This Row],[D10]]/1000*VLOOKUP(Table1[[#This Row],[Navision Code]],'TABULAR PRICE LIST'!A:L,10,FALSE),0)</f>
        <v>0</v>
      </c>
      <c r="Z103" s="111">
        <f>VLOOKUP(C103,'TABULAR PRICE LIST'!$A:$L,12,FALSE)</f>
        <v>2817</v>
      </c>
      <c r="AA103" s="111">
        <f>Table1[[#This Row],[Coil Size]]*Table1[[#This Row],[D10]]/1000</f>
        <v>0</v>
      </c>
      <c r="AB103" s="111">
        <f>Table1[[#This Row],[Weight/KYD]]*Table1[[#This Row],[D10]]</f>
        <v>0</v>
      </c>
      <c r="AC103" s="177"/>
      <c r="AD103" s="111">
        <v>1</v>
      </c>
    </row>
    <row r="104" spans="1:30" ht="18.5" x14ac:dyDescent="0.45">
      <c r="A104" s="189" t="s">
        <v>34</v>
      </c>
      <c r="B104" s="18">
        <f t="shared" si="4"/>
        <v>89</v>
      </c>
      <c r="C104" s="21" t="s">
        <v>167</v>
      </c>
      <c r="D104" s="21" t="s">
        <v>211</v>
      </c>
      <c r="E104" s="21" t="s">
        <v>19</v>
      </c>
      <c r="F104" s="21">
        <v>1</v>
      </c>
      <c r="G104" s="22" t="s">
        <v>157</v>
      </c>
      <c r="H104" s="22" t="s">
        <v>144</v>
      </c>
      <c r="I104" s="20"/>
      <c r="J104" s="20"/>
      <c r="K104" s="231"/>
      <c r="L104" s="231"/>
      <c r="M104" s="231"/>
      <c r="N104" s="231"/>
      <c r="O104" s="231"/>
      <c r="P104" s="231"/>
      <c r="Q104" s="231"/>
      <c r="R104" s="231"/>
      <c r="S104" s="197"/>
      <c r="T104" s="231">
        <f>SUM(Table1[[#This Row],[B]:[Blank]])</f>
        <v>0</v>
      </c>
      <c r="U104" s="116">
        <v>0.35</v>
      </c>
      <c r="V104" s="118">
        <f t="shared" si="3"/>
        <v>0</v>
      </c>
      <c r="W104" s="111">
        <v>153</v>
      </c>
      <c r="X104" s="111">
        <f>Table1[[#This Row],[Coil Size]]*Table1[[#This Row],[D10]]/1000*VLOOKUP(Table1[[#This Row],[Navision Code]],'TABULAR PRICE LIST'!A:L,11,FALSE)</f>
        <v>0</v>
      </c>
      <c r="Y104" s="111">
        <f>IFERROR(Table1[[#This Row],[Coil Size]]*Table1[[#This Row],[D10]]/1000*VLOOKUP(Table1[[#This Row],[Navision Code]],'TABULAR PRICE LIST'!A:L,10,FALSE),0)</f>
        <v>0</v>
      </c>
      <c r="Z104" s="111">
        <f>VLOOKUP(C104,'TABULAR PRICE LIST'!$A:$L,12,FALSE)</f>
        <v>4134</v>
      </c>
      <c r="AA104" s="111">
        <f>Table1[[#This Row],[Coil Size]]*Table1[[#This Row],[D10]]/1000</f>
        <v>0</v>
      </c>
      <c r="AB104" s="111">
        <f>Table1[[#This Row],[Weight/KYD]]*Table1[[#This Row],[D10]]</f>
        <v>0</v>
      </c>
      <c r="AC104" s="177"/>
      <c r="AD104" s="111">
        <v>1</v>
      </c>
    </row>
    <row r="105" spans="1:30" ht="18.5" x14ac:dyDescent="0.45">
      <c r="A105" s="189" t="s">
        <v>34</v>
      </c>
      <c r="B105" s="18">
        <f t="shared" si="4"/>
        <v>90</v>
      </c>
      <c r="C105" s="21" t="s">
        <v>168</v>
      </c>
      <c r="D105" s="21" t="s">
        <v>211</v>
      </c>
      <c r="E105" s="21" t="s">
        <v>19</v>
      </c>
      <c r="F105" s="21">
        <v>1</v>
      </c>
      <c r="G105" s="22" t="s">
        <v>157</v>
      </c>
      <c r="H105" s="22" t="s">
        <v>169</v>
      </c>
      <c r="I105" s="20"/>
      <c r="J105" s="20"/>
      <c r="K105" s="233"/>
      <c r="L105" s="233"/>
      <c r="M105" s="233"/>
      <c r="N105" s="233"/>
      <c r="O105" s="233"/>
      <c r="P105" s="233"/>
      <c r="Q105" s="233"/>
      <c r="R105" s="233"/>
      <c r="S105" s="193"/>
      <c r="T105" s="233">
        <f>SUM(Table1[[#This Row],[B]:[Blank]])</f>
        <v>0</v>
      </c>
      <c r="U105" s="116">
        <v>0.17</v>
      </c>
      <c r="V105" s="118">
        <f t="shared" si="3"/>
        <v>0</v>
      </c>
      <c r="W105" s="111">
        <v>52.32</v>
      </c>
      <c r="X105" s="111">
        <f>Table1[[#This Row],[Coil Size]]*Table1[[#This Row],[D10]]/1000*VLOOKUP(Table1[[#This Row],[Navision Code]],'TABULAR PRICE LIST'!A:L,11,FALSE)</f>
        <v>0</v>
      </c>
      <c r="Y105" s="111">
        <f>IFERROR(Table1[[#This Row],[Coil Size]]*Table1[[#This Row],[D10]]/1000*VLOOKUP(Table1[[#This Row],[Navision Code]],'TABULAR PRICE LIST'!A:L,10,FALSE),0)</f>
        <v>0</v>
      </c>
      <c r="Z105" s="111">
        <f>VLOOKUP(C105,'TABULAR PRICE LIST'!$A:$L,12,FALSE)</f>
        <v>1914</v>
      </c>
      <c r="AA105" s="111">
        <f>Table1[[#This Row],[Coil Size]]*Table1[[#This Row],[D10]]/1000</f>
        <v>0</v>
      </c>
      <c r="AB105" s="111">
        <f>Table1[[#This Row],[Weight/KYD]]*Table1[[#This Row],[D10]]</f>
        <v>0</v>
      </c>
      <c r="AC105" s="177"/>
      <c r="AD105" s="111">
        <v>1</v>
      </c>
    </row>
    <row r="106" spans="1:30" ht="18.5" x14ac:dyDescent="0.45">
      <c r="A106" s="189" t="s">
        <v>34</v>
      </c>
      <c r="B106" s="18">
        <f t="shared" si="4"/>
        <v>91</v>
      </c>
      <c r="C106" s="21" t="s">
        <v>170</v>
      </c>
      <c r="D106" s="21" t="s">
        <v>211</v>
      </c>
      <c r="E106" s="21" t="s">
        <v>19</v>
      </c>
      <c r="F106" s="21">
        <v>1</v>
      </c>
      <c r="G106" s="22" t="s">
        <v>157</v>
      </c>
      <c r="H106" s="22" t="s">
        <v>171</v>
      </c>
      <c r="I106" s="20"/>
      <c r="J106" s="20"/>
      <c r="K106" s="231"/>
      <c r="L106" s="231"/>
      <c r="M106" s="231"/>
      <c r="N106" s="231"/>
      <c r="O106" s="231"/>
      <c r="P106" s="231"/>
      <c r="Q106" s="231"/>
      <c r="R106" s="231"/>
      <c r="S106" s="197"/>
      <c r="T106" s="231">
        <f>SUM(Table1[[#This Row],[B]:[Blank]])</f>
        <v>0</v>
      </c>
      <c r="U106" s="116">
        <v>0.24</v>
      </c>
      <c r="V106" s="118">
        <f t="shared" si="3"/>
        <v>0</v>
      </c>
      <c r="W106" s="111">
        <v>87.06</v>
      </c>
      <c r="X106" s="111">
        <f>Table1[[#This Row],[Coil Size]]*Table1[[#This Row],[D10]]/1000*VLOOKUP(Table1[[#This Row],[Navision Code]],'TABULAR PRICE LIST'!A:L,11,FALSE)</f>
        <v>0</v>
      </c>
      <c r="Y106" s="111">
        <f>IFERROR(Table1[[#This Row],[Coil Size]]*Table1[[#This Row],[D10]]/1000*VLOOKUP(Table1[[#This Row],[Navision Code]],'TABULAR PRICE LIST'!A:L,10,FALSE),0)</f>
        <v>0</v>
      </c>
      <c r="Z106" s="111">
        <f>VLOOKUP(C106,'TABULAR PRICE LIST'!$A:$L,12,FALSE)</f>
        <v>2555</v>
      </c>
      <c r="AA106" s="111">
        <f>Table1[[#This Row],[Coil Size]]*Table1[[#This Row],[D10]]/1000</f>
        <v>0</v>
      </c>
      <c r="AB106" s="111">
        <f>Table1[[#This Row],[Weight/KYD]]*Table1[[#This Row],[D10]]</f>
        <v>0</v>
      </c>
      <c r="AC106" s="177"/>
      <c r="AD106" s="111">
        <v>1</v>
      </c>
    </row>
    <row r="107" spans="1:30" ht="18.5" x14ac:dyDescent="0.45">
      <c r="A107" s="189" t="s">
        <v>34</v>
      </c>
      <c r="B107" s="18">
        <f t="shared" si="4"/>
        <v>92</v>
      </c>
      <c r="C107" s="21" t="s">
        <v>172</v>
      </c>
      <c r="D107" s="21" t="s">
        <v>211</v>
      </c>
      <c r="E107" s="21" t="s">
        <v>19</v>
      </c>
      <c r="F107" s="21">
        <v>1</v>
      </c>
      <c r="G107" s="22" t="s">
        <v>157</v>
      </c>
      <c r="H107" s="22" t="s">
        <v>152</v>
      </c>
      <c r="I107" s="20"/>
      <c r="J107" s="20"/>
      <c r="K107" s="233"/>
      <c r="L107" s="233"/>
      <c r="M107" s="233"/>
      <c r="N107" s="233"/>
      <c r="O107" s="233"/>
      <c r="P107" s="233"/>
      <c r="Q107" s="233"/>
      <c r="R107" s="233"/>
      <c r="S107" s="193"/>
      <c r="T107" s="233">
        <f>SUM(Table1[[#This Row],[B]:[Blank]])</f>
        <v>0</v>
      </c>
      <c r="U107" s="116">
        <v>0.32</v>
      </c>
      <c r="V107" s="118">
        <f t="shared" si="3"/>
        <v>0</v>
      </c>
      <c r="W107" s="111">
        <v>136.80000000000001</v>
      </c>
      <c r="X107" s="111">
        <f>Table1[[#This Row],[Coil Size]]*Table1[[#This Row],[D10]]/1000*VLOOKUP(Table1[[#This Row],[Navision Code]],'TABULAR PRICE LIST'!A:L,11,FALSE)</f>
        <v>0</v>
      </c>
      <c r="Y107" s="111">
        <f>IFERROR(Table1[[#This Row],[Coil Size]]*Table1[[#This Row],[D10]]/1000*VLOOKUP(Table1[[#This Row],[Navision Code]],'TABULAR PRICE LIST'!A:L,10,FALSE),0)</f>
        <v>0</v>
      </c>
      <c r="Z107" s="111">
        <f>VLOOKUP(C107,'TABULAR PRICE LIST'!$A:$L,12,FALSE)</f>
        <v>3746</v>
      </c>
      <c r="AA107" s="111">
        <f>Table1[[#This Row],[Coil Size]]*Table1[[#This Row],[D10]]/1000</f>
        <v>0</v>
      </c>
      <c r="AB107" s="111">
        <f>Table1[[#This Row],[Weight/KYD]]*Table1[[#This Row],[D10]]</f>
        <v>0</v>
      </c>
      <c r="AC107" s="177"/>
      <c r="AD107" s="111">
        <v>1</v>
      </c>
    </row>
    <row r="108" spans="1:30" ht="18.5" x14ac:dyDescent="0.45">
      <c r="A108" s="189" t="s">
        <v>34</v>
      </c>
      <c r="B108" s="18">
        <f t="shared" si="4"/>
        <v>93</v>
      </c>
      <c r="C108" s="21" t="s">
        <v>173</v>
      </c>
      <c r="D108" s="21" t="s">
        <v>211</v>
      </c>
      <c r="E108" s="21" t="s">
        <v>19</v>
      </c>
      <c r="F108" s="21">
        <v>1</v>
      </c>
      <c r="G108" s="22" t="s">
        <v>157</v>
      </c>
      <c r="H108" s="22" t="s">
        <v>153</v>
      </c>
      <c r="I108" s="20"/>
      <c r="J108" s="20"/>
      <c r="K108" s="230"/>
      <c r="L108" s="230"/>
      <c r="M108" s="230"/>
      <c r="N108" s="230"/>
      <c r="O108" s="230"/>
      <c r="P108" s="230"/>
      <c r="Q108" s="230"/>
      <c r="R108" s="230"/>
      <c r="S108" s="193"/>
      <c r="T108" s="230">
        <f>SUM(Table1[[#This Row],[B]:[Blank]])</f>
        <v>0</v>
      </c>
      <c r="U108" s="116">
        <v>0.44</v>
      </c>
      <c r="V108" s="118">
        <f t="shared" si="3"/>
        <v>0</v>
      </c>
      <c r="W108" s="111">
        <v>204</v>
      </c>
      <c r="X108" s="111">
        <f>Table1[[#This Row],[Coil Size]]*Table1[[#This Row],[D10]]/1000*VLOOKUP(Table1[[#This Row],[Navision Code]],'TABULAR PRICE LIST'!A:L,11,FALSE)</f>
        <v>0</v>
      </c>
      <c r="Y108" s="111">
        <f>IFERROR(Table1[[#This Row],[Coil Size]]*Table1[[#This Row],[D10]]/1000*VLOOKUP(Table1[[#This Row],[Navision Code]],'TABULAR PRICE LIST'!A:L,10,FALSE),0)</f>
        <v>0</v>
      </c>
      <c r="Z108" s="111">
        <f>VLOOKUP(C108,'TABULAR PRICE LIST'!$A:$L,12,FALSE)</f>
        <v>5795</v>
      </c>
      <c r="AA108" s="111">
        <f>Table1[[#This Row],[Coil Size]]*Table1[[#This Row],[D10]]/1000</f>
        <v>0</v>
      </c>
      <c r="AB108" s="111">
        <f>Table1[[#This Row],[Weight/KYD]]*Table1[[#This Row],[D10]]</f>
        <v>0</v>
      </c>
      <c r="AC108" s="177"/>
      <c r="AD108" s="111">
        <v>1</v>
      </c>
    </row>
    <row r="109" spans="1:30" ht="18.5" x14ac:dyDescent="0.45">
      <c r="A109" s="189" t="s">
        <v>34</v>
      </c>
      <c r="B109" s="18">
        <f t="shared" si="4"/>
        <v>94</v>
      </c>
      <c r="C109" s="21" t="s">
        <v>230</v>
      </c>
      <c r="D109" s="21" t="s">
        <v>211</v>
      </c>
      <c r="E109" s="21" t="s">
        <v>19</v>
      </c>
      <c r="F109" s="21">
        <v>1</v>
      </c>
      <c r="G109" s="22" t="s">
        <v>157</v>
      </c>
      <c r="H109" s="22" t="s">
        <v>136</v>
      </c>
      <c r="I109" s="20"/>
      <c r="J109" s="20"/>
      <c r="K109" s="233"/>
      <c r="L109" s="233"/>
      <c r="M109" s="233"/>
      <c r="N109" s="233"/>
      <c r="O109" s="233"/>
      <c r="P109" s="233"/>
      <c r="Q109" s="233"/>
      <c r="R109" s="233"/>
      <c r="S109" s="193"/>
      <c r="T109" s="233">
        <f>SUM(Table1[[#This Row],[B]:[Blank]])</f>
        <v>0</v>
      </c>
      <c r="U109" s="116">
        <v>0.42</v>
      </c>
      <c r="V109" s="118">
        <f t="shared" si="3"/>
        <v>0</v>
      </c>
      <c r="W109" s="111">
        <v>171.2</v>
      </c>
      <c r="X109" s="111">
        <f>Table1[[#This Row],[Coil Size]]*Table1[[#This Row],[D10]]/1000*VLOOKUP(Table1[[#This Row],[Navision Code]],'TABULAR PRICE LIST'!A:L,11,FALSE)</f>
        <v>0</v>
      </c>
      <c r="Y109" s="111">
        <f>IFERROR(Table1[[#This Row],[Coil Size]]*Table1[[#This Row],[D10]]/1000*VLOOKUP(Table1[[#This Row],[Navision Code]],'TABULAR PRICE LIST'!A:L,10,FALSE),0)</f>
        <v>0</v>
      </c>
      <c r="Z109" s="111">
        <f>VLOOKUP(C109,'TABULAR PRICE LIST'!$A:$L,12,FALSE)</f>
        <v>4553</v>
      </c>
      <c r="AA109" s="111">
        <f>Table1[[#This Row],[Coil Size]]*Table1[[#This Row],[D10]]/1000</f>
        <v>0</v>
      </c>
      <c r="AB109" s="111">
        <f>Table1[[#This Row],[Weight/KYD]]*Table1[[#This Row],[D10]]</f>
        <v>0</v>
      </c>
      <c r="AC109" s="177"/>
      <c r="AD109" s="111">
        <v>1</v>
      </c>
    </row>
    <row r="110" spans="1:30" ht="18.5" x14ac:dyDescent="0.45">
      <c r="A110" s="189" t="s">
        <v>34</v>
      </c>
      <c r="B110" s="18">
        <f t="shared" si="4"/>
        <v>95</v>
      </c>
      <c r="C110" s="290" t="s">
        <v>841</v>
      </c>
      <c r="D110" s="21" t="s">
        <v>211</v>
      </c>
      <c r="E110" s="21" t="s">
        <v>19</v>
      </c>
      <c r="F110" s="290">
        <v>1</v>
      </c>
      <c r="G110" s="22" t="s">
        <v>844</v>
      </c>
      <c r="H110" s="291" t="s">
        <v>344</v>
      </c>
      <c r="I110" s="292"/>
      <c r="J110" s="293"/>
      <c r="K110" s="293"/>
      <c r="L110" s="293"/>
      <c r="M110" s="293"/>
      <c r="N110" s="293"/>
      <c r="O110" s="293"/>
      <c r="P110" s="293"/>
      <c r="Q110" s="293"/>
      <c r="R110" s="293"/>
      <c r="S110" s="293"/>
      <c r="T110" s="298">
        <f>SUM(Table1[[#This Row],[B]:[Blank]])</f>
        <v>0</v>
      </c>
      <c r="U110" s="295">
        <v>0.5</v>
      </c>
      <c r="V110" s="296">
        <f>U110*T110</f>
        <v>0</v>
      </c>
      <c r="W110" s="111">
        <v>272</v>
      </c>
      <c r="X110" s="111">
        <f>Table1[[#This Row],[Coil Size]]*Table1[[#This Row],[D10]]/1000*VLOOKUP(Table1[[#This Row],[Navision Code]],'TABULAR PRICE LIST'!A:L,11,FALSE)</f>
        <v>0</v>
      </c>
      <c r="Y110" s="111">
        <f>IFERROR(Table1[[#This Row],[Coil Size]]*Table1[[#This Row],[D10]]/1000*VLOOKUP(Table1[[#This Row],[Navision Code]],'TABULAR PRICE LIST'!A:L,10,FALSE),0)</f>
        <v>0</v>
      </c>
      <c r="Z110" s="111">
        <f>VLOOKUP(C110,'TABULAR PRICE LIST'!$A:$L,12,FALSE)</f>
        <v>0</v>
      </c>
      <c r="AA110" s="297">
        <f>Table1[[#This Row],[Coil Size]]*Table1[[#This Row],[D10]]/1000</f>
        <v>0</v>
      </c>
      <c r="AB110" s="297">
        <f>Table1[[#This Row],[Weight/KYD]]*Table1[[#This Row],[D10]]</f>
        <v>0</v>
      </c>
      <c r="AC110" s="177"/>
      <c r="AD110" s="111">
        <v>1</v>
      </c>
    </row>
    <row r="111" spans="1:30" ht="18.5" x14ac:dyDescent="0.45">
      <c r="A111" s="189" t="s">
        <v>34</v>
      </c>
      <c r="B111" s="18">
        <f t="shared" si="4"/>
        <v>96</v>
      </c>
      <c r="C111" s="21" t="s">
        <v>231</v>
      </c>
      <c r="D111" s="21" t="s">
        <v>211</v>
      </c>
      <c r="E111" s="21" t="s">
        <v>19</v>
      </c>
      <c r="F111" s="21">
        <v>1</v>
      </c>
      <c r="G111" s="22" t="s">
        <v>157</v>
      </c>
      <c r="H111" s="22" t="s">
        <v>146</v>
      </c>
      <c r="I111" s="20"/>
      <c r="J111" s="29"/>
      <c r="K111" s="230"/>
      <c r="L111" s="230"/>
      <c r="M111" s="230"/>
      <c r="N111" s="230"/>
      <c r="O111" s="230"/>
      <c r="P111" s="230"/>
      <c r="Q111" s="230"/>
      <c r="R111" s="230"/>
      <c r="S111" s="193"/>
      <c r="T111" s="230">
        <f>SUM(Table1[[#This Row],[B]:[Blank]])</f>
        <v>0</v>
      </c>
      <c r="U111" s="116">
        <v>0.53</v>
      </c>
      <c r="V111" s="118">
        <f t="shared" si="3"/>
        <v>0</v>
      </c>
      <c r="W111" s="111">
        <v>256.8</v>
      </c>
      <c r="X111" s="111">
        <f>Table1[[#This Row],[Coil Size]]*Table1[[#This Row],[D10]]/1000*VLOOKUP(Table1[[#This Row],[Navision Code]],'TABULAR PRICE LIST'!A:L,11,FALSE)</f>
        <v>0</v>
      </c>
      <c r="Y111" s="111">
        <f>IFERROR(Table1[[#This Row],[Coil Size]]*Table1[[#This Row],[D10]]/1000*VLOOKUP(Table1[[#This Row],[Navision Code]],'TABULAR PRICE LIST'!A:L,10,FALSE),0)</f>
        <v>0</v>
      </c>
      <c r="Z111" s="111">
        <f>VLOOKUP(C111,'TABULAR PRICE LIST'!$A:$L,12,FALSE)</f>
        <v>6946</v>
      </c>
      <c r="AA111" s="111">
        <f>Table1[[#This Row],[Coil Size]]*Table1[[#This Row],[D10]]/1000</f>
        <v>0</v>
      </c>
      <c r="AB111" s="111">
        <f>Table1[[#This Row],[Weight/KYD]]*Table1[[#This Row],[D10]]</f>
        <v>0</v>
      </c>
      <c r="AC111" s="177"/>
      <c r="AD111" s="111">
        <v>1</v>
      </c>
    </row>
    <row r="112" spans="1:30" ht="18.5" x14ac:dyDescent="0.45">
      <c r="A112" s="189" t="s">
        <v>34</v>
      </c>
      <c r="B112" s="18">
        <f t="shared" si="4"/>
        <v>97</v>
      </c>
      <c r="C112" s="21" t="s">
        <v>232</v>
      </c>
      <c r="D112" s="21" t="s">
        <v>211</v>
      </c>
      <c r="E112" s="21" t="s">
        <v>19</v>
      </c>
      <c r="F112" s="21">
        <v>1</v>
      </c>
      <c r="G112" s="22" t="s">
        <v>157</v>
      </c>
      <c r="H112" s="22" t="s">
        <v>233</v>
      </c>
      <c r="I112" s="20"/>
      <c r="J112" s="20"/>
      <c r="K112" s="233"/>
      <c r="L112" s="233"/>
      <c r="M112" s="233"/>
      <c r="N112" s="233"/>
      <c r="O112" s="233"/>
      <c r="P112" s="233"/>
      <c r="Q112" s="233"/>
      <c r="R112" s="233"/>
      <c r="S112" s="193"/>
      <c r="T112" s="233">
        <f>SUM(Table1[[#This Row],[B]:[Blank]])</f>
        <v>0</v>
      </c>
      <c r="U112" s="116">
        <v>0.75</v>
      </c>
      <c r="V112" s="118">
        <f t="shared" si="3"/>
        <v>0</v>
      </c>
      <c r="W112" s="111">
        <v>409</v>
      </c>
      <c r="X112" s="111">
        <f>Table1[[#This Row],[Coil Size]]*Table1[[#This Row],[D10]]/1000*VLOOKUP(Table1[[#This Row],[Navision Code]],'TABULAR PRICE LIST'!A:L,11,FALSE)</f>
        <v>0</v>
      </c>
      <c r="Y112" s="111">
        <f>IFERROR(Table1[[#This Row],[Coil Size]]*Table1[[#This Row],[D10]]/1000*VLOOKUP(Table1[[#This Row],[Navision Code]],'TABULAR PRICE LIST'!A:L,10,FALSE),0)</f>
        <v>0</v>
      </c>
      <c r="Z112" s="111">
        <f>VLOOKUP(C112,'TABULAR PRICE LIST'!$A:$L,12,FALSE)</f>
        <v>10405</v>
      </c>
      <c r="AA112" s="111">
        <f>Table1[[#This Row],[Coil Size]]*Table1[[#This Row],[D10]]/1000</f>
        <v>0</v>
      </c>
      <c r="AB112" s="111">
        <f>Table1[[#This Row],[Weight/KYD]]*Table1[[#This Row],[D10]]</f>
        <v>0</v>
      </c>
      <c r="AC112" s="177"/>
      <c r="AD112" s="111">
        <v>1</v>
      </c>
    </row>
    <row r="113" spans="1:30" ht="18.5" x14ac:dyDescent="0.45">
      <c r="A113" s="189" t="s">
        <v>34</v>
      </c>
      <c r="B113" s="18">
        <f t="shared" si="4"/>
        <v>98</v>
      </c>
      <c r="C113" s="21" t="s">
        <v>236</v>
      </c>
      <c r="D113" s="21" t="s">
        <v>211</v>
      </c>
      <c r="E113" s="21" t="s">
        <v>19</v>
      </c>
      <c r="F113" s="21">
        <v>1</v>
      </c>
      <c r="G113" s="22" t="s">
        <v>157</v>
      </c>
      <c r="H113" s="22" t="s">
        <v>155</v>
      </c>
      <c r="I113" s="20"/>
      <c r="J113" s="20"/>
      <c r="K113" s="233"/>
      <c r="L113" s="233"/>
      <c r="M113" s="233"/>
      <c r="N113" s="233"/>
      <c r="O113" s="233"/>
      <c r="P113" s="233"/>
      <c r="Q113" s="233"/>
      <c r="R113" s="233"/>
      <c r="S113" s="193"/>
      <c r="T113" s="238">
        <f>SUM(Table1[[#This Row],[B]:[Blank]])</f>
        <v>0</v>
      </c>
      <c r="U113" s="116">
        <v>0.67</v>
      </c>
      <c r="V113" s="118">
        <f t="shared" ref="V113:V140" si="5">U113*T113</f>
        <v>0</v>
      </c>
      <c r="W113" s="111">
        <v>342.4</v>
      </c>
      <c r="X113" s="111">
        <f>Table1[[#This Row],[Coil Size]]*Table1[[#This Row],[D10]]/1000*VLOOKUP(Table1[[#This Row],[Navision Code]],'TABULAR PRICE LIST'!A:L,11,FALSE)</f>
        <v>0</v>
      </c>
      <c r="Y113" s="111">
        <f>IFERROR(Table1[[#This Row],[Coil Size]]*Table1[[#This Row],[D10]]/1000*VLOOKUP(Table1[[#This Row],[Navision Code]],'TABULAR PRICE LIST'!A:L,10,FALSE),0)</f>
        <v>0</v>
      </c>
      <c r="Z113" s="111">
        <f>VLOOKUP(C113,'TABULAR PRICE LIST'!$A:$L,12,FALSE)</f>
        <v>8471</v>
      </c>
      <c r="AA113" s="111">
        <f>Table1[[#This Row],[Coil Size]]*Table1[[#This Row],[D10]]/1000</f>
        <v>0</v>
      </c>
      <c r="AB113" s="111">
        <f>Table1[[#This Row],[Weight/KYD]]*Table1[[#This Row],[D10]]</f>
        <v>0</v>
      </c>
      <c r="AC113" s="177"/>
      <c r="AD113" s="111">
        <v>1</v>
      </c>
    </row>
    <row r="114" spans="1:30" ht="18.5" x14ac:dyDescent="0.45">
      <c r="A114" s="189" t="s">
        <v>34</v>
      </c>
      <c r="B114" s="18">
        <f t="shared" si="4"/>
        <v>99</v>
      </c>
      <c r="C114" s="21" t="s">
        <v>229</v>
      </c>
      <c r="D114" s="21" t="s">
        <v>211</v>
      </c>
      <c r="E114" s="21" t="s">
        <v>19</v>
      </c>
      <c r="F114" s="21">
        <v>1</v>
      </c>
      <c r="G114" s="22" t="s">
        <v>157</v>
      </c>
      <c r="H114" s="22" t="s">
        <v>237</v>
      </c>
      <c r="I114" s="34"/>
      <c r="J114" s="34"/>
      <c r="K114" s="265"/>
      <c r="L114" s="265"/>
      <c r="M114" s="265"/>
      <c r="N114" s="265"/>
      <c r="O114" s="265"/>
      <c r="P114" s="265"/>
      <c r="Q114" s="265"/>
      <c r="R114" s="265"/>
      <c r="S114" s="199"/>
      <c r="T114" s="107">
        <f>SUM(Table1[[#This Row],[B]:[Blank]])</f>
        <v>0</v>
      </c>
      <c r="U114" s="116">
        <v>0.93</v>
      </c>
      <c r="V114" s="118">
        <f t="shared" si="5"/>
        <v>0</v>
      </c>
      <c r="W114" s="111">
        <v>545.4</v>
      </c>
      <c r="X114" s="111">
        <f>Table1[[#This Row],[Coil Size]]*Table1[[#This Row],[D10]]/1000*VLOOKUP(Table1[[#This Row],[Navision Code]],'TABULAR PRICE LIST'!A:L,11,FALSE)</f>
        <v>0</v>
      </c>
      <c r="Y114" s="111">
        <f>IFERROR(Table1[[#This Row],[Coil Size]]*Table1[[#This Row],[D10]]/1000*VLOOKUP(Table1[[#This Row],[Navision Code]],'TABULAR PRICE LIST'!A:L,10,FALSE),0)</f>
        <v>0</v>
      </c>
      <c r="Z114" s="111">
        <f>VLOOKUP(C114,'TABULAR PRICE LIST'!$A:$L,12,FALSE)</f>
        <v>12866</v>
      </c>
      <c r="AA114" s="111">
        <f>Table1[[#This Row],[Coil Size]]*Table1[[#This Row],[D10]]/1000</f>
        <v>0</v>
      </c>
      <c r="AB114" s="111">
        <f>Table1[[#This Row],[Weight/KYD]]*Table1[[#This Row],[D10]]</f>
        <v>0</v>
      </c>
      <c r="AC114" s="177"/>
      <c r="AD114" s="111">
        <v>1</v>
      </c>
    </row>
    <row r="115" spans="1:30" ht="18.5" x14ac:dyDescent="0.45">
      <c r="A115" s="189" t="s">
        <v>34</v>
      </c>
      <c r="B115" s="18">
        <f t="shared" si="4"/>
        <v>100</v>
      </c>
      <c r="C115" s="21" t="s">
        <v>238</v>
      </c>
      <c r="D115" s="21" t="s">
        <v>211</v>
      </c>
      <c r="E115" s="21" t="s">
        <v>19</v>
      </c>
      <c r="F115" s="21">
        <v>1</v>
      </c>
      <c r="G115" s="22" t="s">
        <v>157</v>
      </c>
      <c r="H115" s="22" t="s">
        <v>239</v>
      </c>
      <c r="I115" s="20"/>
      <c r="J115" s="28"/>
      <c r="K115" s="235"/>
      <c r="L115" s="235"/>
      <c r="M115" s="235"/>
      <c r="N115" s="235"/>
      <c r="O115" s="235"/>
      <c r="P115" s="235"/>
      <c r="Q115" s="235"/>
      <c r="R115" s="235"/>
      <c r="S115" s="197"/>
      <c r="T115" s="105">
        <f>SUM(Table1[[#This Row],[B]:[Blank]])</f>
        <v>0</v>
      </c>
      <c r="U115" s="116">
        <v>1.44</v>
      </c>
      <c r="V115" s="118">
        <f t="shared" si="5"/>
        <v>0</v>
      </c>
      <c r="W115" s="111">
        <v>860.5</v>
      </c>
      <c r="X115" s="111">
        <f>Table1[[#This Row],[Coil Size]]*Table1[[#This Row],[D10]]/1000*VLOOKUP(Table1[[#This Row],[Navision Code]],'TABULAR PRICE LIST'!A:L,11,FALSE)</f>
        <v>0</v>
      </c>
      <c r="Y115" s="111">
        <f>IFERROR(Table1[[#This Row],[Coil Size]]*Table1[[#This Row],[D10]]/1000*VLOOKUP(Table1[[#This Row],[Navision Code]],'TABULAR PRICE LIST'!A:L,10,FALSE),0)</f>
        <v>0</v>
      </c>
      <c r="Z115" s="111">
        <f>VLOOKUP(C115,'TABULAR PRICE LIST'!$A:$L,12,FALSE)</f>
        <v>20187</v>
      </c>
      <c r="AA115" s="111">
        <f>Table1[[#This Row],[Coil Size]]*Table1[[#This Row],[D10]]/1000</f>
        <v>0</v>
      </c>
      <c r="AB115" s="111">
        <f>Table1[[#This Row],[Weight/KYD]]*Table1[[#This Row],[D10]]</f>
        <v>0</v>
      </c>
      <c r="AC115" s="177"/>
      <c r="AD115" s="111">
        <v>1</v>
      </c>
    </row>
    <row r="116" spans="1:30" ht="18.5" x14ac:dyDescent="0.45">
      <c r="A116" s="189" t="s">
        <v>34</v>
      </c>
      <c r="B116" s="18">
        <f t="shared" si="4"/>
        <v>101</v>
      </c>
      <c r="C116" s="21" t="s">
        <v>228</v>
      </c>
      <c r="D116" s="21" t="s">
        <v>211</v>
      </c>
      <c r="E116" s="21" t="s">
        <v>19</v>
      </c>
      <c r="F116" s="21">
        <v>1</v>
      </c>
      <c r="G116" s="22" t="s">
        <v>157</v>
      </c>
      <c r="H116" s="22" t="s">
        <v>240</v>
      </c>
      <c r="I116" s="20"/>
      <c r="J116" s="20"/>
      <c r="K116" s="233"/>
      <c r="L116" s="233"/>
      <c r="M116" s="233"/>
      <c r="N116" s="233"/>
      <c r="O116" s="233"/>
      <c r="P116" s="233"/>
      <c r="Q116" s="233"/>
      <c r="R116" s="233"/>
      <c r="S116" s="193"/>
      <c r="T116" s="105">
        <f>SUM(Table1[[#This Row],[B]:[Blank]])</f>
        <v>0</v>
      </c>
      <c r="U116" s="116">
        <v>0.61</v>
      </c>
      <c r="V116" s="118">
        <f t="shared" si="5"/>
        <v>0</v>
      </c>
      <c r="W116" s="111">
        <v>307.81</v>
      </c>
      <c r="X116" s="111">
        <f>Table1[[#This Row],[Coil Size]]*Table1[[#This Row],[D10]]/1000*VLOOKUP(Table1[[#This Row],[Navision Code]],'TABULAR PRICE LIST'!A:L,11,FALSE)</f>
        <v>0</v>
      </c>
      <c r="Y116" s="111">
        <f>IFERROR(Table1[[#This Row],[Coil Size]]*Table1[[#This Row],[D10]]/1000*VLOOKUP(Table1[[#This Row],[Navision Code]],'TABULAR PRICE LIST'!A:L,10,FALSE),0)</f>
        <v>0</v>
      </c>
      <c r="Z116" s="111">
        <f>VLOOKUP(C116,'TABULAR PRICE LIST'!$A:$L,12,FALSE)</f>
        <v>7914</v>
      </c>
      <c r="AA116" s="111">
        <f>Table1[[#This Row],[Coil Size]]*Table1[[#This Row],[D10]]/1000</f>
        <v>0</v>
      </c>
      <c r="AB116" s="111">
        <f>Table1[[#This Row],[Weight/KYD]]*Table1[[#This Row],[D10]]</f>
        <v>0</v>
      </c>
      <c r="AC116" s="177"/>
      <c r="AD116" s="111">
        <v>1</v>
      </c>
    </row>
    <row r="117" spans="1:30" ht="18.5" x14ac:dyDescent="0.45">
      <c r="A117" s="189" t="s">
        <v>34</v>
      </c>
      <c r="B117" s="18">
        <f t="shared" si="4"/>
        <v>102</v>
      </c>
      <c r="C117" s="21" t="s">
        <v>241</v>
      </c>
      <c r="D117" s="21" t="s">
        <v>211</v>
      </c>
      <c r="E117" s="21" t="s">
        <v>19</v>
      </c>
      <c r="F117" s="21">
        <v>1</v>
      </c>
      <c r="G117" s="22" t="s">
        <v>157</v>
      </c>
      <c r="H117" s="22" t="s">
        <v>242</v>
      </c>
      <c r="I117" s="20"/>
      <c r="J117" s="20"/>
      <c r="K117" s="230"/>
      <c r="L117" s="230"/>
      <c r="M117" s="230"/>
      <c r="N117" s="230"/>
      <c r="O117" s="230"/>
      <c r="P117" s="230"/>
      <c r="Q117" s="230"/>
      <c r="R117" s="230"/>
      <c r="S117" s="193"/>
      <c r="T117" s="105">
        <f>SUM(Table1[[#This Row],[B]:[Blank]])</f>
        <v>0</v>
      </c>
      <c r="U117" s="116">
        <v>0.9</v>
      </c>
      <c r="V117" s="118">
        <f t="shared" si="5"/>
        <v>0</v>
      </c>
      <c r="W117" s="111">
        <v>494.6</v>
      </c>
      <c r="X117" s="111">
        <f>Table1[[#This Row],[Coil Size]]*Table1[[#This Row],[D10]]/1000*VLOOKUP(Table1[[#This Row],[Navision Code]],'TABULAR PRICE LIST'!A:L,11,FALSE)</f>
        <v>0</v>
      </c>
      <c r="Y117" s="111">
        <f>IFERROR(Table1[[#This Row],[Coil Size]]*Table1[[#This Row],[D10]]/1000*VLOOKUP(Table1[[#This Row],[Navision Code]],'TABULAR PRICE LIST'!A:L,10,FALSE),0)</f>
        <v>0</v>
      </c>
      <c r="Z117" s="111">
        <f>VLOOKUP(C117,'TABULAR PRICE LIST'!$A:$L,12,FALSE)</f>
        <v>11874</v>
      </c>
      <c r="AA117" s="111">
        <f>Table1[[#This Row],[Coil Size]]*Table1[[#This Row],[D10]]/1000</f>
        <v>0</v>
      </c>
      <c r="AB117" s="111">
        <f>Table1[[#This Row],[Weight/KYD]]*Table1[[#This Row],[D10]]</f>
        <v>0</v>
      </c>
      <c r="AC117" s="177"/>
      <c r="AD117" s="111">
        <v>1</v>
      </c>
    </row>
    <row r="118" spans="1:30" thickBot="1" x14ac:dyDescent="0.5">
      <c r="A118" s="189" t="s">
        <v>34</v>
      </c>
      <c r="B118" s="18">
        <f t="shared" si="4"/>
        <v>103</v>
      </c>
      <c r="C118" s="30" t="s">
        <v>243</v>
      </c>
      <c r="D118" s="30" t="s">
        <v>211</v>
      </c>
      <c r="E118" s="30" t="s">
        <v>19</v>
      </c>
      <c r="F118" s="30">
        <v>1</v>
      </c>
      <c r="G118" s="31" t="s">
        <v>157</v>
      </c>
      <c r="H118" s="31" t="s">
        <v>244</v>
      </c>
      <c r="I118" s="28"/>
      <c r="J118" s="28"/>
      <c r="K118" s="235"/>
      <c r="L118" s="235"/>
      <c r="M118" s="235"/>
      <c r="N118" s="235"/>
      <c r="O118" s="235"/>
      <c r="P118" s="235"/>
      <c r="Q118" s="235"/>
      <c r="R118" s="235"/>
      <c r="S118" s="197"/>
      <c r="T118" s="106">
        <f>SUM(Table1[[#This Row],[B]:[Blank]])</f>
        <v>0</v>
      </c>
      <c r="U118" s="119">
        <v>1.34</v>
      </c>
      <c r="V118" s="120">
        <f t="shared" si="5"/>
        <v>0</v>
      </c>
      <c r="W118" s="112">
        <v>781.8</v>
      </c>
      <c r="X118" s="111">
        <f>Table1[[#This Row],[Coil Size]]*Table1[[#This Row],[D10]]/1000*VLOOKUP(Table1[[#This Row],[Navision Code]],'TABULAR PRICE LIST'!A:L,11,FALSE)</f>
        <v>0</v>
      </c>
      <c r="Y118" s="112">
        <f>IFERROR(Table1[[#This Row],[Coil Size]]*Table1[[#This Row],[D10]]/1000*VLOOKUP(Table1[[#This Row],[Navision Code]],'TABULAR PRICE LIST'!A:L,10,FALSE),0)</f>
        <v>0</v>
      </c>
      <c r="Z118" s="112">
        <f>VLOOKUP(C118,'TABULAR PRICE LIST'!$A:$L,12,FALSE)</f>
        <v>18032</v>
      </c>
      <c r="AA118" s="112">
        <f>Table1[[#This Row],[Coil Size]]*Table1[[#This Row],[D10]]/1000</f>
        <v>0</v>
      </c>
      <c r="AB118" s="112">
        <f>Table1[[#This Row],[Weight/KYD]]*Table1[[#This Row],[D10]]</f>
        <v>0</v>
      </c>
      <c r="AC118" s="177"/>
      <c r="AD118" s="112">
        <v>1</v>
      </c>
    </row>
    <row r="119" spans="1:30" ht="18.5" x14ac:dyDescent="0.45">
      <c r="A119" s="189" t="s">
        <v>34</v>
      </c>
      <c r="B119" s="18">
        <f t="shared" si="4"/>
        <v>104</v>
      </c>
      <c r="C119" s="21" t="s">
        <v>251</v>
      </c>
      <c r="D119" s="21" t="s">
        <v>211</v>
      </c>
      <c r="E119" s="21" t="s">
        <v>19</v>
      </c>
      <c r="F119" s="21">
        <v>1</v>
      </c>
      <c r="G119" s="22" t="s">
        <v>246</v>
      </c>
      <c r="H119" s="22" t="s">
        <v>550</v>
      </c>
      <c r="I119" s="237"/>
      <c r="J119" s="237"/>
      <c r="K119" s="236"/>
      <c r="L119" s="236"/>
      <c r="M119" s="236"/>
      <c r="N119" s="236"/>
      <c r="O119" s="236"/>
      <c r="P119" s="236"/>
      <c r="Q119" s="236"/>
      <c r="R119" s="236"/>
      <c r="S119" s="240"/>
      <c r="T119" s="105">
        <f>SUM(Table1[[#This Row],[B]:[Blank]])</f>
        <v>0</v>
      </c>
      <c r="U119" s="116">
        <v>1.64</v>
      </c>
      <c r="V119" s="118">
        <f t="shared" si="5"/>
        <v>0</v>
      </c>
      <c r="W119" s="118">
        <v>1032.4000000000001</v>
      </c>
      <c r="X119" s="111">
        <f>Table1[[#This Row],[Coil Size]]*Table1[[#This Row],[D10]]/1000*VLOOKUP(Table1[[#This Row],[Navision Code]],'TABULAR PRICE LIST'!A:L,11,FALSE)</f>
        <v>0</v>
      </c>
      <c r="Y119" s="118">
        <f>IFERROR(Table1[[#This Row],[Coil Size]]*Table1[[#This Row],[D10]]/1000*VLOOKUP(Table1[[#This Row],[Navision Code]],'TABULAR PRICE LIST'!A:L,10,FALSE),0)</f>
        <v>0</v>
      </c>
      <c r="Z119" s="118">
        <f>VLOOKUP(C119,'TABULAR PRICE LIST'!$A:$L,12,FALSE)</f>
        <v>24816</v>
      </c>
      <c r="AA119" s="118">
        <f>Table1[[#This Row],[Coil Size]]*Table1[[#This Row],[D10]]/1000</f>
        <v>0</v>
      </c>
      <c r="AB119" s="118">
        <f>Table1[[#This Row],[Weight/KYD]]*Table1[[#This Row],[D10]]</f>
        <v>0</v>
      </c>
      <c r="AC119" s="177"/>
      <c r="AD119" s="118">
        <v>1</v>
      </c>
    </row>
    <row r="120" spans="1:30" ht="18.5" x14ac:dyDescent="0.45">
      <c r="A120" s="189" t="s">
        <v>34</v>
      </c>
      <c r="B120" s="18">
        <f t="shared" si="4"/>
        <v>105</v>
      </c>
      <c r="C120" s="21" t="s">
        <v>552</v>
      </c>
      <c r="D120" s="21" t="s">
        <v>211</v>
      </c>
      <c r="E120" s="21" t="s">
        <v>19</v>
      </c>
      <c r="F120" s="21">
        <v>1</v>
      </c>
      <c r="G120" s="22" t="s">
        <v>246</v>
      </c>
      <c r="H120" s="22" t="s">
        <v>570</v>
      </c>
      <c r="I120" s="20"/>
      <c r="J120" s="20"/>
      <c r="K120" s="230"/>
      <c r="L120" s="230"/>
      <c r="M120" s="230"/>
      <c r="N120" s="230"/>
      <c r="O120" s="230"/>
      <c r="P120" s="230"/>
      <c r="Q120" s="230"/>
      <c r="R120" s="230"/>
      <c r="S120" s="193"/>
      <c r="T120" s="105">
        <f>SUM(Table1[[#This Row],[B]:[Blank]])</f>
        <v>0</v>
      </c>
      <c r="U120" s="116">
        <v>2.09</v>
      </c>
      <c r="V120" s="118">
        <f t="shared" si="5"/>
        <v>0</v>
      </c>
      <c r="W120" s="118">
        <v>1442.1</v>
      </c>
      <c r="X120" s="111">
        <f>Table1[[#This Row],[Coil Size]]*Table1[[#This Row],[D10]]/1000*VLOOKUP(Table1[[#This Row],[Navision Code]],'TABULAR PRICE LIST'!A:L,11,FALSE)</f>
        <v>0</v>
      </c>
      <c r="Y120" s="118">
        <f>IFERROR(Table1[[#This Row],[Coil Size]]*Table1[[#This Row],[D10]]/1000*VLOOKUP(Table1[[#This Row],[Navision Code]],'TABULAR PRICE LIST'!A:L,10,FALSE),0)</f>
        <v>0</v>
      </c>
      <c r="Z120" s="118">
        <f>VLOOKUP(C120,'TABULAR PRICE LIST'!$A:$L,12,FALSE)</f>
        <v>37216</v>
      </c>
      <c r="AA120" s="118">
        <f>Table1[[#This Row],[Coil Size]]*Table1[[#This Row],[D10]]/1000</f>
        <v>0</v>
      </c>
      <c r="AB120" s="118">
        <f>Table1[[#This Row],[Weight/KYD]]*Table1[[#This Row],[D10]]</f>
        <v>0</v>
      </c>
      <c r="AC120" s="177"/>
      <c r="AD120" s="118">
        <v>1</v>
      </c>
    </row>
    <row r="121" spans="1:30" ht="18.5" x14ac:dyDescent="0.45">
      <c r="A121" s="189" t="s">
        <v>34</v>
      </c>
      <c r="B121" s="18">
        <f t="shared" si="4"/>
        <v>106</v>
      </c>
      <c r="C121" s="21" t="s">
        <v>252</v>
      </c>
      <c r="D121" s="21" t="s">
        <v>211</v>
      </c>
      <c r="E121" s="21" t="s">
        <v>19</v>
      </c>
      <c r="F121" s="21">
        <v>1</v>
      </c>
      <c r="G121" s="22" t="s">
        <v>246</v>
      </c>
      <c r="H121" s="22" t="s">
        <v>253</v>
      </c>
      <c r="I121" s="20"/>
      <c r="J121" s="20"/>
      <c r="K121" s="234"/>
      <c r="L121" s="234"/>
      <c r="M121" s="234"/>
      <c r="N121" s="234"/>
      <c r="O121" s="234"/>
      <c r="P121" s="234"/>
      <c r="Q121" s="234"/>
      <c r="R121" s="234"/>
      <c r="S121" s="264"/>
      <c r="T121" s="105">
        <f>SUM(Table1[[#This Row],[B]:[Blank]])</f>
        <v>0</v>
      </c>
      <c r="U121" s="116">
        <v>2.7483919527937495</v>
      </c>
      <c r="V121" s="118">
        <f t="shared" si="5"/>
        <v>0</v>
      </c>
      <c r="W121" s="118">
        <v>2072</v>
      </c>
      <c r="X121" s="111">
        <f>Table1[[#This Row],[Coil Size]]*Table1[[#This Row],[D10]]/1000*VLOOKUP(Table1[[#This Row],[Navision Code]],'TABULAR PRICE LIST'!A:L,11,FALSE)</f>
        <v>0</v>
      </c>
      <c r="Y121" s="118">
        <f>IFERROR(Table1[[#This Row],[Coil Size]]*Table1[[#This Row],[D10]]/1000*VLOOKUP(Table1[[#This Row],[Navision Code]],'TABULAR PRICE LIST'!A:L,10,FALSE),0)</f>
        <v>0</v>
      </c>
      <c r="Z121" s="118">
        <f>VLOOKUP(C121,'TABULAR PRICE LIST'!$A:$L,12,FALSE)</f>
        <v>48512</v>
      </c>
      <c r="AA121" s="118">
        <f>Table1[[#This Row],[Coil Size]]*Table1[[#This Row],[D10]]/1000</f>
        <v>0</v>
      </c>
      <c r="AB121" s="118">
        <f>Table1[[#This Row],[Weight/KYD]]*Table1[[#This Row],[D10]]</f>
        <v>0</v>
      </c>
      <c r="AC121" s="177"/>
      <c r="AD121" s="118">
        <v>1</v>
      </c>
    </row>
    <row r="122" spans="1:30" ht="18.5" x14ac:dyDescent="0.45">
      <c r="A122" s="189" t="s">
        <v>34</v>
      </c>
      <c r="B122" s="18">
        <f t="shared" si="4"/>
        <v>107</v>
      </c>
      <c r="C122" s="21" t="s">
        <v>569</v>
      </c>
      <c r="D122" s="21" t="s">
        <v>211</v>
      </c>
      <c r="E122" s="21" t="s">
        <v>19</v>
      </c>
      <c r="F122" s="21">
        <v>1</v>
      </c>
      <c r="G122" s="22" t="s">
        <v>246</v>
      </c>
      <c r="H122" s="22" t="s">
        <v>571</v>
      </c>
      <c r="I122" s="20"/>
      <c r="J122" s="20"/>
      <c r="K122" s="233"/>
      <c r="L122" s="233"/>
      <c r="M122" s="233"/>
      <c r="N122" s="233"/>
      <c r="O122" s="233"/>
      <c r="P122" s="233"/>
      <c r="Q122" s="233"/>
      <c r="R122" s="233"/>
      <c r="S122" s="193"/>
      <c r="T122" s="210">
        <f>SUM(Table1[[#This Row],[B]:[Blank]])</f>
        <v>0</v>
      </c>
      <c r="U122" s="116">
        <v>3.8270979069568347</v>
      </c>
      <c r="V122" s="118">
        <f t="shared" si="5"/>
        <v>0</v>
      </c>
      <c r="W122" s="118">
        <v>2857.1</v>
      </c>
      <c r="X122" s="111">
        <f>Table1[[#This Row],[Coil Size]]*Table1[[#This Row],[D10]]/1000*VLOOKUP(Table1[[#This Row],[Navision Code]],'TABULAR PRICE LIST'!A:L,11,FALSE)</f>
        <v>0</v>
      </c>
      <c r="Y122" s="118">
        <f>IFERROR(Table1[[#This Row],[Coil Size]]*Table1[[#This Row],[D10]]/1000*VLOOKUP(Table1[[#This Row],[Navision Code]],'TABULAR PRICE LIST'!A:L,10,FALSE),0)</f>
        <v>0</v>
      </c>
      <c r="Z122" s="118">
        <f>VLOOKUP(C122,'TABULAR PRICE LIST'!$A:$L,12,FALSE)</f>
        <v>70803</v>
      </c>
      <c r="AA122" s="118">
        <f>Table1[[#This Row],[Coil Size]]*Table1[[#This Row],[D10]]/1000</f>
        <v>0</v>
      </c>
      <c r="AB122" s="118">
        <f>Table1[[#This Row],[Weight/KYD]]*Table1[[#This Row],[D10]]</f>
        <v>0</v>
      </c>
      <c r="AC122" s="177"/>
      <c r="AD122" s="118">
        <v>1</v>
      </c>
    </row>
    <row r="123" spans="1:30" ht="18.5" x14ac:dyDescent="0.45">
      <c r="A123" s="189" t="s">
        <v>34</v>
      </c>
      <c r="B123" s="18">
        <f t="shared" si="4"/>
        <v>108</v>
      </c>
      <c r="C123" s="21" t="s">
        <v>256</v>
      </c>
      <c r="D123" s="21" t="s">
        <v>211</v>
      </c>
      <c r="E123" s="21" t="s">
        <v>19</v>
      </c>
      <c r="F123" s="21">
        <v>1</v>
      </c>
      <c r="G123" s="22" t="s">
        <v>246</v>
      </c>
      <c r="H123" s="22" t="s">
        <v>257</v>
      </c>
      <c r="I123" s="20"/>
      <c r="J123" s="29"/>
      <c r="K123" s="230"/>
      <c r="L123" s="230"/>
      <c r="M123" s="230"/>
      <c r="N123" s="230"/>
      <c r="O123" s="230"/>
      <c r="P123" s="230"/>
      <c r="Q123" s="230"/>
      <c r="R123" s="230"/>
      <c r="S123" s="193"/>
      <c r="T123" s="105">
        <f>SUM(Table1[[#This Row],[B]:[Blank]])</f>
        <v>0</v>
      </c>
      <c r="U123" s="116">
        <v>4.8236448110134331</v>
      </c>
      <c r="V123" s="118">
        <f t="shared" si="5"/>
        <v>0</v>
      </c>
      <c r="W123" s="118">
        <v>3696.9</v>
      </c>
      <c r="X123" s="111">
        <f>Table1[[#This Row],[Coil Size]]*Table1[[#This Row],[D10]]/1000*VLOOKUP(Table1[[#This Row],[Navision Code]],'TABULAR PRICE LIST'!A:L,11,FALSE)</f>
        <v>0</v>
      </c>
      <c r="Y123" s="118">
        <f>IFERROR(Table1[[#This Row],[Coil Size]]*Table1[[#This Row],[D10]]/1000*VLOOKUP(Table1[[#This Row],[Navision Code]],'TABULAR PRICE LIST'!A:L,10,FALSE),0)</f>
        <v>0</v>
      </c>
      <c r="Z123" s="118">
        <f>VLOOKUP(C123,'TABULAR PRICE LIST'!$A:$L,12,FALSE)</f>
        <v>85484</v>
      </c>
      <c r="AA123" s="118">
        <f>Table1[[#This Row],[Coil Size]]*Table1[[#This Row],[D10]]/1000</f>
        <v>0</v>
      </c>
      <c r="AB123" s="118">
        <f>Table1[[#This Row],[Weight/KYD]]*Table1[[#This Row],[D10]]</f>
        <v>0</v>
      </c>
      <c r="AC123" s="177"/>
      <c r="AD123" s="118">
        <v>1</v>
      </c>
    </row>
    <row r="124" spans="1:30" ht="18.5" x14ac:dyDescent="0.45">
      <c r="A124" s="189" t="s">
        <v>34</v>
      </c>
      <c r="B124" s="18">
        <f t="shared" si="4"/>
        <v>109</v>
      </c>
      <c r="C124" s="21" t="s">
        <v>258</v>
      </c>
      <c r="D124" s="21" t="s">
        <v>211</v>
      </c>
      <c r="E124" s="21" t="s">
        <v>19</v>
      </c>
      <c r="F124" s="21">
        <v>1</v>
      </c>
      <c r="G124" s="22" t="s">
        <v>246</v>
      </c>
      <c r="H124" s="22" t="s">
        <v>572</v>
      </c>
      <c r="I124" s="20"/>
      <c r="J124" s="20"/>
      <c r="K124" s="233"/>
      <c r="L124" s="233"/>
      <c r="M124" s="233"/>
      <c r="N124" s="233"/>
      <c r="O124" s="233"/>
      <c r="P124" s="233"/>
      <c r="Q124" s="233"/>
      <c r="R124" s="233"/>
      <c r="S124" s="193"/>
      <c r="T124" s="105">
        <f>SUM(Table1[[#This Row],[B]:[Blank]])</f>
        <v>0</v>
      </c>
      <c r="U124" s="116">
        <v>5.8773665679871074</v>
      </c>
      <c r="V124" s="118">
        <f t="shared" si="5"/>
        <v>0</v>
      </c>
      <c r="W124" s="118">
        <v>4408.8999999999996</v>
      </c>
      <c r="X124" s="111">
        <f>Table1[[#This Row],[Coil Size]]*Table1[[#This Row],[D10]]/1000*VLOOKUP(Table1[[#This Row],[Navision Code]],'TABULAR PRICE LIST'!A:L,11,FALSE)</f>
        <v>0</v>
      </c>
      <c r="Y124" s="118">
        <f>IFERROR(Table1[[#This Row],[Coil Size]]*Table1[[#This Row],[D10]]/1000*VLOOKUP(Table1[[#This Row],[Navision Code]],'TABULAR PRICE LIST'!A:L,10,FALSE),0)</f>
        <v>0</v>
      </c>
      <c r="Z124" s="118">
        <f>VLOOKUP(C124,'TABULAR PRICE LIST'!$A:$L,12,FALSE)</f>
        <v>102312</v>
      </c>
      <c r="AA124" s="118">
        <f>Table1[[#This Row],[Coil Size]]*Table1[[#This Row],[D10]]/1000</f>
        <v>0</v>
      </c>
      <c r="AB124" s="118">
        <f>Table1[[#This Row],[Weight/KYD]]*Table1[[#This Row],[D10]]</f>
        <v>0</v>
      </c>
      <c r="AC124" s="177"/>
      <c r="AD124" s="118">
        <v>1</v>
      </c>
    </row>
    <row r="125" spans="1:30" ht="18.5" x14ac:dyDescent="0.45">
      <c r="A125" s="189" t="s">
        <v>34</v>
      </c>
      <c r="B125" s="18">
        <f t="shared" si="4"/>
        <v>110</v>
      </c>
      <c r="C125" s="21" t="s">
        <v>260</v>
      </c>
      <c r="D125" s="21" t="s">
        <v>211</v>
      </c>
      <c r="E125" s="21" t="s">
        <v>19</v>
      </c>
      <c r="F125" s="21">
        <v>1</v>
      </c>
      <c r="G125" s="22" t="s">
        <v>246</v>
      </c>
      <c r="H125" s="22" t="s">
        <v>573</v>
      </c>
      <c r="I125" s="20"/>
      <c r="J125" s="20"/>
      <c r="K125" s="230"/>
      <c r="L125" s="230"/>
      <c r="M125" s="230"/>
      <c r="N125" s="230"/>
      <c r="O125" s="230"/>
      <c r="P125" s="230"/>
      <c r="Q125" s="230"/>
      <c r="R125" s="230"/>
      <c r="S125" s="193"/>
      <c r="T125" s="105">
        <f>SUM(Table1[[#This Row],[B]:[Blank]])</f>
        <v>0</v>
      </c>
      <c r="U125" s="116">
        <v>7.4173430824535407</v>
      </c>
      <c r="V125" s="118">
        <f t="shared" si="5"/>
        <v>0</v>
      </c>
      <c r="W125" s="118">
        <v>5603.1</v>
      </c>
      <c r="X125" s="111">
        <f>Table1[[#This Row],[Coil Size]]*Table1[[#This Row],[D10]]/1000*VLOOKUP(Table1[[#This Row],[Navision Code]],'TABULAR PRICE LIST'!A:L,11,FALSE)</f>
        <v>0</v>
      </c>
      <c r="Y125" s="118">
        <f>IFERROR(Table1[[#This Row],[Coil Size]]*Table1[[#This Row],[D10]]/1000*VLOOKUP(Table1[[#This Row],[Navision Code]],'TABULAR PRICE LIST'!A:L,10,FALSE),0)</f>
        <v>0</v>
      </c>
      <c r="Z125" s="118">
        <f>VLOOKUP(C125,'TABULAR PRICE LIST'!$A:$L,12,FALSE)</f>
        <v>129528</v>
      </c>
      <c r="AA125" s="118">
        <f>Table1[[#This Row],[Coil Size]]*Table1[[#This Row],[D10]]/1000</f>
        <v>0</v>
      </c>
      <c r="AB125" s="118">
        <f>Table1[[#This Row],[Weight/KYD]]*Table1[[#This Row],[D10]]</f>
        <v>0</v>
      </c>
      <c r="AC125" s="177"/>
      <c r="AD125" s="118">
        <v>1</v>
      </c>
    </row>
    <row r="126" spans="1:30" ht="18.5" x14ac:dyDescent="0.45">
      <c r="A126" s="189" t="s">
        <v>34</v>
      </c>
      <c r="B126" s="18">
        <f t="shared" si="4"/>
        <v>111</v>
      </c>
      <c r="C126" s="21" t="s">
        <v>262</v>
      </c>
      <c r="D126" s="21" t="s">
        <v>211</v>
      </c>
      <c r="E126" s="21" t="s">
        <v>19</v>
      </c>
      <c r="F126" s="21">
        <v>1</v>
      </c>
      <c r="G126" s="22" t="s">
        <v>246</v>
      </c>
      <c r="H126" s="22" t="s">
        <v>574</v>
      </c>
      <c r="I126" s="20"/>
      <c r="J126" s="20"/>
      <c r="K126" s="233"/>
      <c r="L126" s="233"/>
      <c r="M126" s="233"/>
      <c r="N126" s="233"/>
      <c r="O126" s="233"/>
      <c r="P126" s="233"/>
      <c r="Q126" s="233"/>
      <c r="R126" s="233"/>
      <c r="S126" s="193"/>
      <c r="T126" s="105">
        <f>SUM(Table1[[#This Row],[B]:[Blank]])</f>
        <v>0</v>
      </c>
      <c r="U126" s="116">
        <v>9.5889956640133427</v>
      </c>
      <c r="V126" s="118">
        <f t="shared" si="5"/>
        <v>0</v>
      </c>
      <c r="W126" s="118">
        <v>7383</v>
      </c>
      <c r="X126" s="111">
        <f>Table1[[#This Row],[Coil Size]]*Table1[[#This Row],[D10]]/1000*VLOOKUP(Table1[[#This Row],[Navision Code]],'TABULAR PRICE LIST'!A:L,11,FALSE)</f>
        <v>0</v>
      </c>
      <c r="Y126" s="118">
        <f>IFERROR(Table1[[#This Row],[Coil Size]]*Table1[[#This Row],[D10]]/1000*VLOOKUP(Table1[[#This Row],[Navision Code]],'TABULAR PRICE LIST'!A:L,10,FALSE),0)</f>
        <v>0</v>
      </c>
      <c r="Z126" s="118">
        <f>VLOOKUP(C126,'TABULAR PRICE LIST'!$A:$L,12,FALSE)</f>
        <v>167879</v>
      </c>
      <c r="AA126" s="118">
        <f>Table1[[#This Row],[Coil Size]]*Table1[[#This Row],[D10]]/1000</f>
        <v>0</v>
      </c>
      <c r="AB126" s="118">
        <f>Table1[[#This Row],[Weight/KYD]]*Table1[[#This Row],[D10]]</f>
        <v>0</v>
      </c>
      <c r="AC126" s="177"/>
      <c r="AD126" s="118">
        <v>1</v>
      </c>
    </row>
    <row r="127" spans="1:30" ht="18.5" x14ac:dyDescent="0.45">
      <c r="A127" s="189" t="s">
        <v>34</v>
      </c>
      <c r="B127" s="18">
        <f t="shared" si="4"/>
        <v>112</v>
      </c>
      <c r="C127" s="21" t="s">
        <v>264</v>
      </c>
      <c r="D127" s="21" t="s">
        <v>211</v>
      </c>
      <c r="E127" s="21" t="s">
        <v>19</v>
      </c>
      <c r="F127" s="21">
        <v>1</v>
      </c>
      <c r="G127" s="22" t="s">
        <v>246</v>
      </c>
      <c r="H127" s="22" t="s">
        <v>575</v>
      </c>
      <c r="I127" s="34"/>
      <c r="J127" s="34"/>
      <c r="K127" s="265"/>
      <c r="L127" s="265"/>
      <c r="M127" s="265"/>
      <c r="N127" s="265"/>
      <c r="O127" s="265"/>
      <c r="P127" s="265"/>
      <c r="Q127" s="265"/>
      <c r="R127" s="265"/>
      <c r="S127" s="199"/>
      <c r="T127" s="105">
        <f>SUM(Table1[[#This Row],[B]:[Blank]])</f>
        <v>0</v>
      </c>
      <c r="U127" s="116">
        <v>1.8896470588235292</v>
      </c>
      <c r="V127" s="118">
        <f t="shared" si="5"/>
        <v>0</v>
      </c>
      <c r="W127" s="118">
        <v>1196</v>
      </c>
      <c r="X127" s="111">
        <f>Table1[[#This Row],[Coil Size]]*Table1[[#This Row],[D10]]/1000*VLOOKUP(Table1[[#This Row],[Navision Code]],'TABULAR PRICE LIST'!A:L,11,FALSE)</f>
        <v>0</v>
      </c>
      <c r="Y127" s="118">
        <f>IFERROR(Table1[[#This Row],[Coil Size]]*Table1[[#This Row],[D10]]/1000*VLOOKUP(Table1[[#This Row],[Navision Code]],'TABULAR PRICE LIST'!A:L,10,FALSE),0)</f>
        <v>0</v>
      </c>
      <c r="Z127" s="118">
        <f>VLOOKUP(C127,'TABULAR PRICE LIST'!$A:$L,12,FALSE)</f>
        <v>27729</v>
      </c>
      <c r="AA127" s="118">
        <f>Table1[[#This Row],[Coil Size]]*Table1[[#This Row],[D10]]/1000</f>
        <v>0</v>
      </c>
      <c r="AB127" s="118">
        <f>Table1[[#This Row],[Weight/KYD]]*Table1[[#This Row],[D10]]</f>
        <v>0</v>
      </c>
      <c r="AC127" s="177"/>
      <c r="AD127" s="118">
        <v>1</v>
      </c>
    </row>
    <row r="128" spans="1:30" ht="18.5" x14ac:dyDescent="0.45">
      <c r="A128" s="189" t="s">
        <v>34</v>
      </c>
      <c r="B128" s="18">
        <f t="shared" si="4"/>
        <v>113</v>
      </c>
      <c r="C128" s="21" t="s">
        <v>471</v>
      </c>
      <c r="D128" s="21" t="s">
        <v>211</v>
      </c>
      <c r="E128" s="21" t="s">
        <v>19</v>
      </c>
      <c r="F128" s="21">
        <v>1</v>
      </c>
      <c r="G128" s="22" t="s">
        <v>246</v>
      </c>
      <c r="H128" s="22" t="s">
        <v>576</v>
      </c>
      <c r="I128" s="20"/>
      <c r="J128" s="28"/>
      <c r="K128" s="235"/>
      <c r="L128" s="235"/>
      <c r="M128" s="235"/>
      <c r="N128" s="235"/>
      <c r="O128" s="235"/>
      <c r="P128" s="235"/>
      <c r="Q128" s="235"/>
      <c r="R128" s="235"/>
      <c r="S128" s="197"/>
      <c r="T128" s="105">
        <f>SUM(Table1[[#This Row],[B]:[Blank]])</f>
        <v>0</v>
      </c>
      <c r="U128" s="116">
        <v>2.3156195650792109</v>
      </c>
      <c r="V128" s="118">
        <f t="shared" si="5"/>
        <v>0</v>
      </c>
      <c r="W128" s="118">
        <v>1636</v>
      </c>
      <c r="X128" s="111">
        <f>Table1[[#This Row],[Coil Size]]*Table1[[#This Row],[D10]]/1000*VLOOKUP(Table1[[#This Row],[Navision Code]],'TABULAR PRICE LIST'!A:L,11,FALSE)</f>
        <v>0</v>
      </c>
      <c r="Y128" s="118">
        <f>IFERROR(Table1[[#This Row],[Coil Size]]*Table1[[#This Row],[D10]]/1000*VLOOKUP(Table1[[#This Row],[Navision Code]],'TABULAR PRICE LIST'!A:L,10,FALSE),0)</f>
        <v>0</v>
      </c>
      <c r="Z128" s="118">
        <f>VLOOKUP(C128,'TABULAR PRICE LIST'!$A:$L,12,FALSE)</f>
        <v>39971</v>
      </c>
      <c r="AA128" s="118">
        <f>Table1[[#This Row],[Coil Size]]*Table1[[#This Row],[D10]]/1000</f>
        <v>0</v>
      </c>
      <c r="AB128" s="118">
        <f>Table1[[#This Row],[Weight/KYD]]*Table1[[#This Row],[D10]]</f>
        <v>0</v>
      </c>
      <c r="AC128" s="177"/>
      <c r="AD128" s="118">
        <v>1</v>
      </c>
    </row>
    <row r="129" spans="1:30" ht="18.5" x14ac:dyDescent="0.45">
      <c r="A129" s="189" t="s">
        <v>34</v>
      </c>
      <c r="B129" s="18">
        <f t="shared" si="4"/>
        <v>114</v>
      </c>
      <c r="C129" s="21" t="s">
        <v>267</v>
      </c>
      <c r="D129" s="21" t="s">
        <v>211</v>
      </c>
      <c r="E129" s="21" t="s">
        <v>19</v>
      </c>
      <c r="F129" s="21">
        <v>1</v>
      </c>
      <c r="G129" s="22" t="s">
        <v>246</v>
      </c>
      <c r="H129" s="22" t="s">
        <v>577</v>
      </c>
      <c r="I129" s="20"/>
      <c r="J129" s="20"/>
      <c r="K129" s="233"/>
      <c r="L129" s="233"/>
      <c r="M129" s="233"/>
      <c r="N129" s="233"/>
      <c r="O129" s="233"/>
      <c r="P129" s="233"/>
      <c r="Q129" s="233"/>
      <c r="R129" s="233"/>
      <c r="S129" s="193"/>
      <c r="T129" s="105">
        <f>SUM(Table1[[#This Row],[B]:[Blank]])</f>
        <v>0</v>
      </c>
      <c r="U129" s="116">
        <v>3.2418081918081918</v>
      </c>
      <c r="V129" s="118">
        <f t="shared" si="5"/>
        <v>0</v>
      </c>
      <c r="W129" s="118">
        <v>2363</v>
      </c>
      <c r="X129" s="111">
        <f>Table1[[#This Row],[Coil Size]]*Table1[[#This Row],[D10]]/1000*VLOOKUP(Table1[[#This Row],[Navision Code]],'TABULAR PRICE LIST'!A:L,11,FALSE)</f>
        <v>0</v>
      </c>
      <c r="Y129" s="118">
        <f>IFERROR(Table1[[#This Row],[Coil Size]]*Table1[[#This Row],[D10]]/1000*VLOOKUP(Table1[[#This Row],[Navision Code]],'TABULAR PRICE LIST'!A:L,10,FALSE),0)</f>
        <v>0</v>
      </c>
      <c r="Z129" s="118">
        <f>VLOOKUP(C129,'TABULAR PRICE LIST'!$A:$L,12,FALSE)</f>
        <v>53789</v>
      </c>
      <c r="AA129" s="118">
        <f>Table1[[#This Row],[Coil Size]]*Table1[[#This Row],[D10]]/1000</f>
        <v>0</v>
      </c>
      <c r="AB129" s="118">
        <f>Table1[[#This Row],[Weight/KYD]]*Table1[[#This Row],[D10]]</f>
        <v>0</v>
      </c>
      <c r="AC129" s="177"/>
      <c r="AD129" s="118">
        <v>1</v>
      </c>
    </row>
    <row r="130" spans="1:30" ht="18.5" x14ac:dyDescent="0.45">
      <c r="A130" s="189" t="s">
        <v>34</v>
      </c>
      <c r="B130" s="18">
        <f t="shared" si="4"/>
        <v>115</v>
      </c>
      <c r="C130" s="21" t="s">
        <v>269</v>
      </c>
      <c r="D130" s="21" t="s">
        <v>211</v>
      </c>
      <c r="E130" s="21" t="s">
        <v>19</v>
      </c>
      <c r="F130" s="21">
        <v>1</v>
      </c>
      <c r="G130" s="22" t="s">
        <v>246</v>
      </c>
      <c r="H130" s="22" t="s">
        <v>578</v>
      </c>
      <c r="I130" s="20"/>
      <c r="J130" s="20"/>
      <c r="K130" s="230"/>
      <c r="L130" s="230"/>
      <c r="M130" s="230"/>
      <c r="N130" s="230"/>
      <c r="O130" s="230"/>
      <c r="P130" s="230"/>
      <c r="Q130" s="230"/>
      <c r="R130" s="230"/>
      <c r="S130" s="193"/>
      <c r="T130" s="105">
        <f>SUM(Table1[[#This Row],[B]:[Blank]])</f>
        <v>0</v>
      </c>
      <c r="U130" s="116">
        <v>4.2867526475490232</v>
      </c>
      <c r="V130" s="118">
        <f t="shared" si="5"/>
        <v>0</v>
      </c>
      <c r="W130" s="118">
        <v>3264</v>
      </c>
      <c r="X130" s="111">
        <f>Table1[[#This Row],[Coil Size]]*Table1[[#This Row],[D10]]/1000*VLOOKUP(Table1[[#This Row],[Navision Code]],'TABULAR PRICE LIST'!A:L,11,FALSE)</f>
        <v>0</v>
      </c>
      <c r="Y130" s="118">
        <f>IFERROR(Table1[[#This Row],[Coil Size]]*Table1[[#This Row],[D10]]/1000*VLOOKUP(Table1[[#This Row],[Navision Code]],'TABULAR PRICE LIST'!A:L,10,FALSE),0)</f>
        <v>0</v>
      </c>
      <c r="Z130" s="118">
        <f>VLOOKUP(C130,'TABULAR PRICE LIST'!$A:$L,12,FALSE)</f>
        <v>74841</v>
      </c>
      <c r="AA130" s="118">
        <f>Table1[[#This Row],[Coil Size]]*Table1[[#This Row],[D10]]/1000</f>
        <v>0</v>
      </c>
      <c r="AB130" s="118">
        <f>Table1[[#This Row],[Weight/KYD]]*Table1[[#This Row],[D10]]</f>
        <v>0</v>
      </c>
      <c r="AC130" s="177"/>
      <c r="AD130" s="118">
        <v>1</v>
      </c>
    </row>
    <row r="131" spans="1:30" ht="18.5" x14ac:dyDescent="0.45">
      <c r="A131" s="189" t="s">
        <v>34</v>
      </c>
      <c r="B131" s="18">
        <f t="shared" si="4"/>
        <v>116</v>
      </c>
      <c r="C131" s="21" t="s">
        <v>271</v>
      </c>
      <c r="D131" s="21" t="s">
        <v>211</v>
      </c>
      <c r="E131" s="21" t="s">
        <v>19</v>
      </c>
      <c r="F131" s="21">
        <v>1</v>
      </c>
      <c r="G131" s="22" t="s">
        <v>246</v>
      </c>
      <c r="H131" s="22" t="s">
        <v>579</v>
      </c>
      <c r="I131" s="20"/>
      <c r="J131" s="20"/>
      <c r="K131" s="233"/>
      <c r="L131" s="233"/>
      <c r="M131" s="233"/>
      <c r="N131" s="233"/>
      <c r="O131" s="233"/>
      <c r="P131" s="233"/>
      <c r="Q131" s="233"/>
      <c r="R131" s="233"/>
      <c r="S131" s="193"/>
      <c r="T131" s="105">
        <f>SUM(Table1[[#This Row],[B]:[Blank]])</f>
        <v>0</v>
      </c>
      <c r="U131" s="116">
        <v>5.4904706585276406</v>
      </c>
      <c r="V131" s="118">
        <f t="shared" si="5"/>
        <v>0</v>
      </c>
      <c r="W131" s="118">
        <v>4141</v>
      </c>
      <c r="X131" s="111">
        <f>Table1[[#This Row],[Coil Size]]*Table1[[#This Row],[D10]]/1000*VLOOKUP(Table1[[#This Row],[Navision Code]],'TABULAR PRICE LIST'!A:L,11,FALSE)</f>
        <v>0</v>
      </c>
      <c r="Y131" s="118">
        <f>IFERROR(Table1[[#This Row],[Coil Size]]*Table1[[#This Row],[D10]]/1000*VLOOKUP(Table1[[#This Row],[Navision Code]],'TABULAR PRICE LIST'!A:L,10,FALSE),0)</f>
        <v>0</v>
      </c>
      <c r="Z131" s="118">
        <f>VLOOKUP(C131,'TABULAR PRICE LIST'!$A:$L,12,FALSE)</f>
        <v>93547</v>
      </c>
      <c r="AA131" s="118">
        <f>Table1[[#This Row],[Coil Size]]*Table1[[#This Row],[D10]]/1000</f>
        <v>0</v>
      </c>
      <c r="AB131" s="118">
        <f>Table1[[#This Row],[Weight/KYD]]*Table1[[#This Row],[D10]]</f>
        <v>0</v>
      </c>
      <c r="AC131" s="177"/>
      <c r="AD131" s="118">
        <v>1</v>
      </c>
    </row>
    <row r="132" spans="1:30" ht="18.5" x14ac:dyDescent="0.45">
      <c r="A132" s="189" t="s">
        <v>34</v>
      </c>
      <c r="B132" s="18">
        <f t="shared" si="4"/>
        <v>117</v>
      </c>
      <c r="C132" s="21" t="s">
        <v>266</v>
      </c>
      <c r="D132" s="21" t="s">
        <v>211</v>
      </c>
      <c r="E132" s="21" t="s">
        <v>19</v>
      </c>
      <c r="F132" s="21">
        <v>1</v>
      </c>
      <c r="G132" s="22" t="s">
        <v>246</v>
      </c>
      <c r="H132" s="22" t="s">
        <v>580</v>
      </c>
      <c r="I132" s="20"/>
      <c r="J132" s="20"/>
      <c r="K132" s="230"/>
      <c r="L132" s="230"/>
      <c r="M132" s="230"/>
      <c r="N132" s="230"/>
      <c r="O132" s="230"/>
      <c r="P132" s="230"/>
      <c r="Q132" s="230"/>
      <c r="R132" s="230"/>
      <c r="S132" s="193"/>
      <c r="T132" s="105">
        <f>SUM(Table1[[#This Row],[B]:[Blank]])</f>
        <v>0</v>
      </c>
      <c r="U132" s="116">
        <v>6.7718914542247877</v>
      </c>
      <c r="V132" s="118">
        <f t="shared" si="5"/>
        <v>0</v>
      </c>
      <c r="W132" s="118">
        <v>5090</v>
      </c>
      <c r="X132" s="111">
        <f>Table1[[#This Row],[Coil Size]]*Table1[[#This Row],[D10]]/1000*VLOOKUP(Table1[[#This Row],[Navision Code]],'TABULAR PRICE LIST'!A:L,11,FALSE)</f>
        <v>0</v>
      </c>
      <c r="Y132" s="118">
        <f>IFERROR(Table1[[#This Row],[Coil Size]]*Table1[[#This Row],[D10]]/1000*VLOOKUP(Table1[[#This Row],[Navision Code]],'TABULAR PRICE LIST'!A:L,10,FALSE),0)</f>
        <v>0</v>
      </c>
      <c r="Z132" s="118">
        <f>VLOOKUP(C132,'TABULAR PRICE LIST'!$A:$L,12,FALSE)</f>
        <v>114992</v>
      </c>
      <c r="AA132" s="118">
        <f>Table1[[#This Row],[Coil Size]]*Table1[[#This Row],[D10]]/1000</f>
        <v>0</v>
      </c>
      <c r="AB132" s="118">
        <f>Table1[[#This Row],[Weight/KYD]]*Table1[[#This Row],[D10]]</f>
        <v>0</v>
      </c>
      <c r="AC132" s="177"/>
      <c r="AD132" s="118">
        <v>1</v>
      </c>
    </row>
    <row r="133" spans="1:30" ht="18.5" x14ac:dyDescent="0.45">
      <c r="A133" s="189" t="s">
        <v>34</v>
      </c>
      <c r="B133" s="18">
        <f t="shared" si="4"/>
        <v>118</v>
      </c>
      <c r="C133" s="21" t="s">
        <v>274</v>
      </c>
      <c r="D133" s="21" t="s">
        <v>211</v>
      </c>
      <c r="E133" s="21" t="s">
        <v>19</v>
      </c>
      <c r="F133" s="21">
        <v>1</v>
      </c>
      <c r="G133" s="22" t="s">
        <v>246</v>
      </c>
      <c r="H133" s="22" t="s">
        <v>581</v>
      </c>
      <c r="I133" s="20"/>
      <c r="J133" s="20"/>
      <c r="K133" s="233"/>
      <c r="L133" s="233"/>
      <c r="M133" s="233"/>
      <c r="N133" s="233"/>
      <c r="O133" s="233"/>
      <c r="P133" s="233"/>
      <c r="Q133" s="233"/>
      <c r="R133" s="233"/>
      <c r="S133" s="193"/>
      <c r="T133" s="210">
        <f>SUM(Table1[[#This Row],[B]:[Blank]])</f>
        <v>0</v>
      </c>
      <c r="U133" s="116">
        <v>8.4008523666234431</v>
      </c>
      <c r="V133" s="118">
        <f t="shared" si="5"/>
        <v>0</v>
      </c>
      <c r="W133" s="118">
        <v>6383</v>
      </c>
      <c r="X133" s="111">
        <f>Table1[[#This Row],[Coil Size]]*Table1[[#This Row],[D10]]/1000*VLOOKUP(Table1[[#This Row],[Navision Code]],'TABULAR PRICE LIST'!A:L,11,FALSE)</f>
        <v>0</v>
      </c>
      <c r="Y133" s="118">
        <f>IFERROR(Table1[[#This Row],[Coil Size]]*Table1[[#This Row],[D10]]/1000*VLOOKUP(Table1[[#This Row],[Navision Code]],'TABULAR PRICE LIST'!A:L,10,FALSE),0)</f>
        <v>0</v>
      </c>
      <c r="Z133" s="118">
        <f>VLOOKUP(C133,'TABULAR PRICE LIST'!$A:$L,12,FALSE)</f>
        <v>143724</v>
      </c>
      <c r="AA133" s="118">
        <f>Table1[[#This Row],[Coil Size]]*Table1[[#This Row],[D10]]/1000</f>
        <v>0</v>
      </c>
      <c r="AB133" s="118">
        <f>Table1[[#This Row],[Weight/KYD]]*Table1[[#This Row],[D10]]</f>
        <v>0</v>
      </c>
      <c r="AC133" s="177"/>
      <c r="AD133" s="118">
        <v>1</v>
      </c>
    </row>
    <row r="134" spans="1:30" thickBot="1" x14ac:dyDescent="0.5">
      <c r="A134" s="189" t="s">
        <v>34</v>
      </c>
      <c r="B134" s="18">
        <f t="shared" si="4"/>
        <v>119</v>
      </c>
      <c r="C134" s="40" t="s">
        <v>276</v>
      </c>
      <c r="D134" s="40" t="s">
        <v>211</v>
      </c>
      <c r="E134" s="40" t="s">
        <v>19</v>
      </c>
      <c r="F134" s="40">
        <v>1</v>
      </c>
      <c r="G134" s="41" t="s">
        <v>246</v>
      </c>
      <c r="H134" s="41" t="s">
        <v>582</v>
      </c>
      <c r="I134" s="20"/>
      <c r="J134" s="20"/>
      <c r="K134" s="232"/>
      <c r="L134" s="232"/>
      <c r="M134" s="232"/>
      <c r="N134" s="232"/>
      <c r="O134" s="232"/>
      <c r="P134" s="232"/>
      <c r="Q134" s="232"/>
      <c r="R134" s="232"/>
      <c r="S134" s="199"/>
      <c r="T134" s="110">
        <f>SUM(Table1[[#This Row],[B]:[Blank]])</f>
        <v>0</v>
      </c>
      <c r="U134" s="122">
        <v>11.023440990155798</v>
      </c>
      <c r="V134" s="123">
        <f t="shared" si="5"/>
        <v>0</v>
      </c>
      <c r="W134" s="131">
        <v>8464</v>
      </c>
      <c r="X134" s="111">
        <f>Table1[[#This Row],[Coil Size]]*Table1[[#This Row],[D10]]/1000*VLOOKUP(Table1[[#This Row],[Navision Code]],'TABULAR PRICE LIST'!A:L,11,FALSE)</f>
        <v>0</v>
      </c>
      <c r="Y134" s="131">
        <f>IFERROR(Table1[[#This Row],[Coil Size]]*Table1[[#This Row],[D10]]/1000*VLOOKUP(Table1[[#This Row],[Navision Code]],'TABULAR PRICE LIST'!A:L,10,FALSE),0)</f>
        <v>0</v>
      </c>
      <c r="Z134" s="131">
        <f>VLOOKUP(C134,'TABULAR PRICE LIST'!$A:$L,12,FALSE)</f>
        <v>189996</v>
      </c>
      <c r="AA134" s="131">
        <f>Table1[[#This Row],[Coil Size]]*Table1[[#This Row],[D10]]/1000</f>
        <v>0</v>
      </c>
      <c r="AB134" s="131">
        <f>Table1[[#This Row],[Weight/KYD]]*Table1[[#This Row],[D10]]</f>
        <v>0</v>
      </c>
      <c r="AC134" s="177"/>
      <c r="AD134" s="131">
        <v>1</v>
      </c>
    </row>
    <row r="135" spans="1:30" thickBot="1" x14ac:dyDescent="0.5">
      <c r="A135" s="189" t="s">
        <v>34</v>
      </c>
      <c r="B135" s="18">
        <f t="shared" si="4"/>
        <v>120</v>
      </c>
      <c r="C135" s="21" t="s">
        <v>290</v>
      </c>
      <c r="D135" s="21" t="s">
        <v>211</v>
      </c>
      <c r="E135" s="21" t="s">
        <v>19</v>
      </c>
      <c r="F135" s="21">
        <v>1</v>
      </c>
      <c r="G135" s="22" t="s">
        <v>279</v>
      </c>
      <c r="H135" s="22" t="s">
        <v>346</v>
      </c>
      <c r="I135" s="20"/>
      <c r="J135" s="20"/>
      <c r="K135" s="231"/>
      <c r="L135" s="231"/>
      <c r="M135" s="231"/>
      <c r="N135" s="231"/>
      <c r="O135" s="231"/>
      <c r="P135" s="231"/>
      <c r="Q135" s="231"/>
      <c r="R135" s="231"/>
      <c r="S135" s="197"/>
      <c r="T135" s="105">
        <f>SUM(Table1[[#This Row],[B]:[Blank]])</f>
        <v>0</v>
      </c>
      <c r="U135" s="116">
        <v>2.0249999999999999</v>
      </c>
      <c r="V135" s="118">
        <f t="shared" si="5"/>
        <v>0</v>
      </c>
      <c r="W135" s="118">
        <v>1196</v>
      </c>
      <c r="X135" s="111">
        <f>Table1[[#This Row],[Coil Size]]*Table1[[#This Row],[D10]]/1000*VLOOKUP(Table1[[#This Row],[Navision Code]],'TABULAR PRICE LIST'!A:L,11,FALSE)</f>
        <v>0</v>
      </c>
      <c r="Y135" s="131">
        <f>IFERROR(Table1[[#This Row],[Coil Size]]*Table1[[#This Row],[D10]]/1000*VLOOKUP(Table1[[#This Row],[Navision Code]],'TABULAR PRICE LIST'!A:L,10,FALSE),0)</f>
        <v>0</v>
      </c>
      <c r="Z135" s="118">
        <f>VLOOKUP(C135,'TABULAR PRICE LIST'!$A:$L,12,FALSE)</f>
        <v>28211</v>
      </c>
      <c r="AA135" s="118">
        <f>Table1[[#This Row],[Coil Size]]*Table1[[#This Row],[D10]]/1000</f>
        <v>0</v>
      </c>
      <c r="AB135" s="118">
        <f>Table1[[#This Row],[Weight/KYD]]*Table1[[#This Row],[D10]]</f>
        <v>0</v>
      </c>
      <c r="AC135" s="177"/>
      <c r="AD135" s="118">
        <v>1</v>
      </c>
    </row>
    <row r="136" spans="1:30" thickBot="1" x14ac:dyDescent="0.5">
      <c r="A136" s="189" t="s">
        <v>34</v>
      </c>
      <c r="B136" s="18">
        <f t="shared" si="4"/>
        <v>121</v>
      </c>
      <c r="C136" s="21" t="s">
        <v>473</v>
      </c>
      <c r="D136" s="21" t="s">
        <v>211</v>
      </c>
      <c r="E136" s="21" t="s">
        <v>19</v>
      </c>
      <c r="F136" s="21">
        <v>1</v>
      </c>
      <c r="G136" s="22" t="s">
        <v>279</v>
      </c>
      <c r="H136" s="22" t="s">
        <v>472</v>
      </c>
      <c r="I136" s="20"/>
      <c r="J136" s="20"/>
      <c r="K136" s="233"/>
      <c r="L136" s="233"/>
      <c r="M136" s="233"/>
      <c r="N136" s="233"/>
      <c r="O136" s="233"/>
      <c r="P136" s="233"/>
      <c r="Q136" s="233"/>
      <c r="R136" s="233"/>
      <c r="S136" s="193"/>
      <c r="T136" s="105">
        <f>SUM(Table1[[#This Row],[B]:[Blank]])</f>
        <v>0</v>
      </c>
      <c r="U136" s="116">
        <v>2.2835749607266989</v>
      </c>
      <c r="V136" s="118">
        <f t="shared" si="5"/>
        <v>0</v>
      </c>
      <c r="W136" s="118">
        <v>1636</v>
      </c>
      <c r="X136" s="111">
        <f>Table1[[#This Row],[Coil Size]]*Table1[[#This Row],[D10]]/1000*VLOOKUP(Table1[[#This Row],[Navision Code]],'TABULAR PRICE LIST'!A:L,11,FALSE)</f>
        <v>0</v>
      </c>
      <c r="Y136" s="131">
        <f>IFERROR(Table1[[#This Row],[Coil Size]]*Table1[[#This Row],[D10]]/1000*VLOOKUP(Table1[[#This Row],[Navision Code]],'TABULAR PRICE LIST'!A:L,10,FALSE),0)</f>
        <v>0</v>
      </c>
      <c r="Z136" s="118">
        <f>VLOOKUP(C136,'TABULAR PRICE LIST'!$A:$L,12,FALSE)</f>
        <v>40671</v>
      </c>
      <c r="AA136" s="118">
        <f>Table1[[#This Row],[Coil Size]]*Table1[[#This Row],[D10]]/1000</f>
        <v>0</v>
      </c>
      <c r="AB136" s="118">
        <f>Table1[[#This Row],[Weight/KYD]]*Table1[[#This Row],[D10]]</f>
        <v>0</v>
      </c>
      <c r="AC136" s="177"/>
      <c r="AD136" s="118">
        <v>1</v>
      </c>
    </row>
    <row r="137" spans="1:30" thickBot="1" x14ac:dyDescent="0.5">
      <c r="A137" s="189" t="s">
        <v>34</v>
      </c>
      <c r="B137" s="18">
        <f t="shared" si="4"/>
        <v>122</v>
      </c>
      <c r="C137" s="21" t="s">
        <v>293</v>
      </c>
      <c r="D137" s="21" t="s">
        <v>211</v>
      </c>
      <c r="E137" s="21" t="s">
        <v>19</v>
      </c>
      <c r="F137" s="21">
        <v>1</v>
      </c>
      <c r="G137" s="22" t="s">
        <v>279</v>
      </c>
      <c r="H137" s="22" t="s">
        <v>270</v>
      </c>
      <c r="I137" s="20"/>
      <c r="J137" s="20"/>
      <c r="K137" s="233"/>
      <c r="L137" s="233"/>
      <c r="M137" s="233"/>
      <c r="N137" s="233"/>
      <c r="O137" s="233"/>
      <c r="P137" s="233"/>
      <c r="Q137" s="233"/>
      <c r="R137" s="233"/>
      <c r="S137" s="193"/>
      <c r="T137" s="105">
        <f>SUM(Table1[[#This Row],[B]:[Blank]])</f>
        <v>0</v>
      </c>
      <c r="U137" s="116">
        <v>4.1637021431151551</v>
      </c>
      <c r="V137" s="118">
        <f t="shared" si="5"/>
        <v>0</v>
      </c>
      <c r="W137" s="118">
        <v>3264</v>
      </c>
      <c r="X137" s="111">
        <f>Table1[[#This Row],[Coil Size]]*Table1[[#This Row],[D10]]/1000*VLOOKUP(Table1[[#This Row],[Navision Code]],'TABULAR PRICE LIST'!A:L,11,FALSE)</f>
        <v>0</v>
      </c>
      <c r="Y137" s="131">
        <f>IFERROR(Table1[[#This Row],[Coil Size]]*Table1[[#This Row],[D10]]/1000*VLOOKUP(Table1[[#This Row],[Navision Code]],'TABULAR PRICE LIST'!A:L,10,FALSE),0)</f>
        <v>0</v>
      </c>
      <c r="Z137" s="111">
        <f>VLOOKUP(C137,'TABULAR PRICE LIST'!$A:$L,12,FALSE)</f>
        <v>76138</v>
      </c>
      <c r="AA137" s="111">
        <f>Table1[[#This Row],[Coil Size]]*Table1[[#This Row],[D10]]/1000</f>
        <v>0</v>
      </c>
      <c r="AB137" s="111">
        <f>Table1[[#This Row],[Weight/KYD]]*Table1[[#This Row],[D10]]</f>
        <v>0</v>
      </c>
      <c r="AC137" s="177"/>
      <c r="AD137" s="111">
        <v>1</v>
      </c>
    </row>
    <row r="138" spans="1:30" thickBot="1" x14ac:dyDescent="0.5">
      <c r="A138" s="189" t="s">
        <v>34</v>
      </c>
      <c r="B138" s="18">
        <f t="shared" si="4"/>
        <v>123</v>
      </c>
      <c r="C138" s="21" t="s">
        <v>294</v>
      </c>
      <c r="D138" s="21" t="s">
        <v>211</v>
      </c>
      <c r="E138" s="21" t="s">
        <v>19</v>
      </c>
      <c r="F138" s="21">
        <v>1</v>
      </c>
      <c r="G138" s="22" t="s">
        <v>279</v>
      </c>
      <c r="H138" s="22" t="s">
        <v>272</v>
      </c>
      <c r="I138" s="20"/>
      <c r="J138" s="20"/>
      <c r="K138" s="230"/>
      <c r="L138" s="230"/>
      <c r="M138" s="230"/>
      <c r="N138" s="230"/>
      <c r="O138" s="230"/>
      <c r="P138" s="230"/>
      <c r="Q138" s="230"/>
      <c r="R138" s="230"/>
      <c r="S138" s="193"/>
      <c r="T138" s="105">
        <f>SUM(Table1[[#This Row],[B]:[Blank]])</f>
        <v>0</v>
      </c>
      <c r="U138" s="116">
        <v>5.3154463154538671</v>
      </c>
      <c r="V138" s="118">
        <f t="shared" si="5"/>
        <v>0</v>
      </c>
      <c r="W138" s="118">
        <v>4141</v>
      </c>
      <c r="X138" s="111">
        <f>Table1[[#This Row],[Coil Size]]*Table1[[#This Row],[D10]]/1000*VLOOKUP(Table1[[#This Row],[Navision Code]],'TABULAR PRICE LIST'!A:L,11,FALSE)</f>
        <v>0</v>
      </c>
      <c r="Y138" s="131">
        <f>IFERROR(Table1[[#This Row],[Coil Size]]*Table1[[#This Row],[D10]]/1000*VLOOKUP(Table1[[#This Row],[Navision Code]],'TABULAR PRICE LIST'!A:L,10,FALSE),0)</f>
        <v>0</v>
      </c>
      <c r="Z138" s="111">
        <f>VLOOKUP(C138,'TABULAR PRICE LIST'!$A:$L,12,FALSE)</f>
        <v>95166</v>
      </c>
      <c r="AA138" s="111">
        <f>Table1[[#This Row],[Coil Size]]*Table1[[#This Row],[D10]]/1000</f>
        <v>0</v>
      </c>
      <c r="AB138" s="111">
        <f>Table1[[#This Row],[Weight/KYD]]*Table1[[#This Row],[D10]]</f>
        <v>0</v>
      </c>
      <c r="AC138" s="177"/>
      <c r="AD138" s="111">
        <v>1</v>
      </c>
    </row>
    <row r="139" spans="1:30" thickBot="1" x14ac:dyDescent="0.5">
      <c r="A139" s="189" t="s">
        <v>34</v>
      </c>
      <c r="B139" s="18">
        <f t="shared" si="4"/>
        <v>124</v>
      </c>
      <c r="C139" s="21" t="s">
        <v>291</v>
      </c>
      <c r="D139" s="21" t="s">
        <v>211</v>
      </c>
      <c r="E139" s="21" t="s">
        <v>19</v>
      </c>
      <c r="F139" s="21">
        <v>1</v>
      </c>
      <c r="G139" s="22" t="s">
        <v>279</v>
      </c>
      <c r="H139" s="22" t="s">
        <v>273</v>
      </c>
      <c r="I139" s="20"/>
      <c r="J139" s="20"/>
      <c r="K139" s="234"/>
      <c r="L139" s="234"/>
      <c r="M139" s="234"/>
      <c r="N139" s="234"/>
      <c r="O139" s="234"/>
      <c r="P139" s="234"/>
      <c r="Q139" s="234"/>
      <c r="R139" s="234"/>
      <c r="S139" s="264"/>
      <c r="T139" s="105">
        <f>SUM(Table1[[#This Row],[B]:[Blank]])</f>
        <v>0</v>
      </c>
      <c r="U139" s="116">
        <v>6.5237259014743492</v>
      </c>
      <c r="V139" s="118">
        <f t="shared" si="5"/>
        <v>0</v>
      </c>
      <c r="W139" s="118">
        <v>5090</v>
      </c>
      <c r="X139" s="111">
        <f>Table1[[#This Row],[Coil Size]]*Table1[[#This Row],[D10]]/1000*VLOOKUP(Table1[[#This Row],[Navision Code]],'TABULAR PRICE LIST'!A:L,11,FALSE)</f>
        <v>0</v>
      </c>
      <c r="Y139" s="131">
        <f>IFERROR(Table1[[#This Row],[Coil Size]]*Table1[[#This Row],[D10]]/1000*VLOOKUP(Table1[[#This Row],[Navision Code]],'TABULAR PRICE LIST'!A:L,10,FALSE),0)</f>
        <v>0</v>
      </c>
      <c r="Z139" s="111">
        <f>VLOOKUP(C139,'TABULAR PRICE LIST'!$A:$L,12,FALSE)</f>
        <v>116980</v>
      </c>
      <c r="AA139" s="111">
        <f>Table1[[#This Row],[Coil Size]]*Table1[[#This Row],[D10]]/1000</f>
        <v>0</v>
      </c>
      <c r="AB139" s="111">
        <f>Table1[[#This Row],[Weight/KYD]]*Table1[[#This Row],[D10]]</f>
        <v>0</v>
      </c>
      <c r="AC139" s="177"/>
      <c r="AD139" s="111">
        <v>1</v>
      </c>
    </row>
    <row r="140" spans="1:30" thickBot="1" x14ac:dyDescent="0.5">
      <c r="A140" s="189" t="s">
        <v>34</v>
      </c>
      <c r="B140" s="18">
        <f t="shared" si="4"/>
        <v>125</v>
      </c>
      <c r="C140" s="30" t="s">
        <v>296</v>
      </c>
      <c r="D140" s="30" t="s">
        <v>211</v>
      </c>
      <c r="E140" s="30" t="s">
        <v>19</v>
      </c>
      <c r="F140" s="30">
        <v>1</v>
      </c>
      <c r="G140" s="31" t="s">
        <v>279</v>
      </c>
      <c r="H140" s="31" t="s">
        <v>277</v>
      </c>
      <c r="I140" s="28"/>
      <c r="J140" s="266"/>
      <c r="K140" s="231"/>
      <c r="L140" s="231"/>
      <c r="M140" s="231"/>
      <c r="N140" s="231"/>
      <c r="O140" s="231"/>
      <c r="P140" s="231"/>
      <c r="Q140" s="231"/>
      <c r="R140" s="231"/>
      <c r="S140" s="197"/>
      <c r="T140" s="106">
        <f>SUM(Table1[[#This Row],[B]:[Blank]])</f>
        <v>0</v>
      </c>
      <c r="U140" s="119">
        <v>10.242138364779874</v>
      </c>
      <c r="V140" s="120">
        <f t="shared" si="5"/>
        <v>0</v>
      </c>
      <c r="W140" s="131">
        <v>8464</v>
      </c>
      <c r="X140" s="111">
        <f>Table1[[#This Row],[Coil Size]]*Table1[[#This Row],[D10]]/1000*VLOOKUP(Table1[[#This Row],[Navision Code]],'TABULAR PRICE LIST'!A:L,11,FALSE)</f>
        <v>0</v>
      </c>
      <c r="Y140" s="131">
        <f>IFERROR(Table1[[#This Row],[Coil Size]]*Table1[[#This Row],[D10]]/1000*VLOOKUP(Table1[[#This Row],[Navision Code]],'TABULAR PRICE LIST'!A:L,10,FALSE),0)</f>
        <v>0</v>
      </c>
      <c r="Z140" s="111">
        <f>VLOOKUP(C140,'TABULAR PRICE LIST'!$A:$L,12,FALSE)</f>
        <v>193288</v>
      </c>
      <c r="AA140" s="111">
        <f>Table1[[#This Row],[Coil Size]]*Table1[[#This Row],[D10]]/1000</f>
        <v>0</v>
      </c>
      <c r="AB140" s="111">
        <f>Table1[[#This Row],[Weight/KYD]]*Table1[[#This Row],[D10]]</f>
        <v>0</v>
      </c>
      <c r="AC140" s="177"/>
      <c r="AD140" s="111">
        <v>1</v>
      </c>
    </row>
    <row r="141" spans="1:30" thickBot="1" x14ac:dyDescent="0.5">
      <c r="A141" s="189" t="s">
        <v>34</v>
      </c>
      <c r="B141" s="18">
        <f t="shared" si="4"/>
        <v>126</v>
      </c>
      <c r="C141" s="38" t="s">
        <v>515</v>
      </c>
      <c r="D141" s="38" t="s">
        <v>211</v>
      </c>
      <c r="E141" s="38" t="s">
        <v>19</v>
      </c>
      <c r="F141" s="38">
        <v>1</v>
      </c>
      <c r="G141" s="39" t="s">
        <v>343</v>
      </c>
      <c r="H141" s="39" t="s">
        <v>564</v>
      </c>
      <c r="I141" s="237"/>
      <c r="J141" s="237"/>
      <c r="K141" s="236"/>
      <c r="L141" s="236"/>
      <c r="M141" s="236"/>
      <c r="N141" s="236"/>
      <c r="O141" s="236"/>
      <c r="P141" s="236"/>
      <c r="Q141" s="236"/>
      <c r="R141" s="236"/>
      <c r="S141" s="240"/>
      <c r="T141" s="109">
        <f>SUM(Table1[[#This Row],[B]:[Blank]])</f>
        <v>0</v>
      </c>
      <c r="U141" s="114">
        <v>0.16366235567808129</v>
      </c>
      <c r="V141" s="115">
        <f t="shared" ref="V141:V164" si="6">U141*T141</f>
        <v>0</v>
      </c>
      <c r="W141" s="132">
        <v>175.23000000000002</v>
      </c>
      <c r="X141" s="111">
        <f>Table1[[#This Row],[Coil Size]]*Table1[[#This Row],[D10]]/1000*VLOOKUP(Table1[[#This Row],[Navision Code]],'TABULAR PRICE LIST'!A:L,11,FALSE)</f>
        <v>0</v>
      </c>
      <c r="Y141" s="131">
        <f>IFERROR(Table1[[#This Row],[Coil Size]]*Table1[[#This Row],[D10]]/1000*VLOOKUP(Table1[[#This Row],[Navision Code]],'TABULAR PRICE LIST'!A:L,10,FALSE),0)</f>
        <v>0</v>
      </c>
      <c r="Z141" s="137">
        <f>VLOOKUP(C141,'TABULAR PRICE LIST'!$A:$L,12,FALSE)</f>
        <v>754.39</v>
      </c>
      <c r="AA141" s="137">
        <f>Table1[[#This Row],[Coil Size]]*Table1[[#This Row],[D10]]/1000</f>
        <v>0</v>
      </c>
      <c r="AB141" s="132">
        <f>Table1[[#This Row],[Weight/KYD]]*Table1[[#This Row],[D10]]</f>
        <v>0</v>
      </c>
      <c r="AC141" s="177"/>
      <c r="AD141" s="132">
        <v>1</v>
      </c>
    </row>
    <row r="142" spans="1:30" thickBot="1" x14ac:dyDescent="0.5">
      <c r="A142" s="189" t="s">
        <v>34</v>
      </c>
      <c r="B142" s="18">
        <f t="shared" si="4"/>
        <v>127</v>
      </c>
      <c r="C142" s="21" t="s">
        <v>516</v>
      </c>
      <c r="D142" s="21" t="s">
        <v>211</v>
      </c>
      <c r="E142" s="21" t="s">
        <v>19</v>
      </c>
      <c r="F142" s="21">
        <v>1</v>
      </c>
      <c r="G142" s="22" t="s">
        <v>343</v>
      </c>
      <c r="H142" s="41" t="s">
        <v>565</v>
      </c>
      <c r="I142" s="20"/>
      <c r="J142" s="20"/>
      <c r="K142" s="230"/>
      <c r="L142" s="230"/>
      <c r="M142" s="230"/>
      <c r="N142" s="230"/>
      <c r="O142" s="230"/>
      <c r="P142" s="230"/>
      <c r="Q142" s="230"/>
      <c r="R142" s="230"/>
      <c r="S142" s="193"/>
      <c r="T142" s="105">
        <f>SUM(Table1[[#This Row],[B]:[Blank]])</f>
        <v>0</v>
      </c>
      <c r="U142" s="116">
        <v>0.51041666666666674</v>
      </c>
      <c r="V142" s="118">
        <f t="shared" si="6"/>
        <v>0</v>
      </c>
      <c r="W142" s="121">
        <v>243.92</v>
      </c>
      <c r="X142" s="111">
        <f>Table1[[#This Row],[Coil Size]]*Table1[[#This Row],[D10]]/1000*VLOOKUP(Table1[[#This Row],[Navision Code]],'TABULAR PRICE LIST'!A:L,11,FALSE)</f>
        <v>0</v>
      </c>
      <c r="Y142" s="131">
        <f>IFERROR(Table1[[#This Row],[Coil Size]]*Table1[[#This Row],[D10]]/1000*VLOOKUP(Table1[[#This Row],[Navision Code]],'TABULAR PRICE LIST'!A:L,10,FALSE),0)</f>
        <v>0</v>
      </c>
      <c r="Z142" s="121">
        <f>VLOOKUP(C142,'TABULAR PRICE LIST'!$A:$L,12,FALSE)</f>
        <v>1149.33</v>
      </c>
      <c r="AA142" s="121">
        <f>Table1[[#This Row],[Coil Size]]*Table1[[#This Row],[D10]]/1000</f>
        <v>0</v>
      </c>
      <c r="AB142" s="121">
        <f>Table1[[#This Row],[Weight/KYD]]*Table1[[#This Row],[D10]]</f>
        <v>0</v>
      </c>
      <c r="AC142" s="177"/>
      <c r="AD142" s="121">
        <v>1</v>
      </c>
    </row>
    <row r="143" spans="1:30" thickBot="1" x14ac:dyDescent="0.5">
      <c r="A143" s="189" t="s">
        <v>34</v>
      </c>
      <c r="B143" s="18">
        <f t="shared" si="4"/>
        <v>128</v>
      </c>
      <c r="C143" s="21" t="s">
        <v>860</v>
      </c>
      <c r="D143" s="21" t="s">
        <v>211</v>
      </c>
      <c r="E143" s="21" t="s">
        <v>19</v>
      </c>
      <c r="F143" s="21">
        <v>1</v>
      </c>
      <c r="G143" s="22" t="s">
        <v>343</v>
      </c>
      <c r="H143" s="20" t="s">
        <v>851</v>
      </c>
      <c r="I143" s="20"/>
      <c r="J143" s="20"/>
      <c r="K143" s="233"/>
      <c r="L143" s="233"/>
      <c r="M143" s="233"/>
      <c r="N143" s="233"/>
      <c r="O143" s="233"/>
      <c r="P143" s="233"/>
      <c r="Q143" s="233"/>
      <c r="R143" s="233"/>
      <c r="S143" s="193"/>
      <c r="T143" s="105">
        <f>SUM(Table1[[#This Row],[B]:[Blank]])</f>
        <v>0</v>
      </c>
      <c r="U143" s="116">
        <v>0.92521869068440177</v>
      </c>
      <c r="V143" s="118">
        <f t="shared" si="6"/>
        <v>0</v>
      </c>
      <c r="W143" s="121">
        <v>891.62</v>
      </c>
      <c r="X143" s="111">
        <f>Table1[[#This Row],[Coil Size]]*Table1[[#This Row],[D10]]/1000*VLOOKUP(Table1[[#This Row],[Navision Code]],'TABULAR PRICE LIST'!A:L,11,FALSE)</f>
        <v>0</v>
      </c>
      <c r="Y143" s="131">
        <f>IFERROR(Table1[[#This Row],[Coil Size]]*Table1[[#This Row],[D10]]/1000*VLOOKUP(Table1[[#This Row],[Navision Code]],'TABULAR PRICE LIST'!A:L,10,FALSE),0)</f>
        <v>0</v>
      </c>
      <c r="Z143" s="121">
        <f>VLOOKUP(C143,'TABULAR PRICE LIST'!$A:$L,12,FALSE)</f>
        <v>4761.12</v>
      </c>
      <c r="AA143" s="121">
        <f>Table1[[#This Row],[Coil Size]]*Table1[[#This Row],[D10]]/1000</f>
        <v>0</v>
      </c>
      <c r="AB143" s="121">
        <f>Table1[[#This Row],[Weight/KYD]]*Table1[[#This Row],[D10]]</f>
        <v>0</v>
      </c>
      <c r="AC143" s="177"/>
      <c r="AD143" s="121">
        <v>1</v>
      </c>
    </row>
    <row r="144" spans="1:30" thickBot="1" x14ac:dyDescent="0.5">
      <c r="A144" s="189" t="s">
        <v>34</v>
      </c>
      <c r="B144" s="18">
        <f t="shared" si="4"/>
        <v>129</v>
      </c>
      <c r="C144" s="21" t="s">
        <v>859</v>
      </c>
      <c r="D144" s="21" t="s">
        <v>211</v>
      </c>
      <c r="E144" s="21" t="s">
        <v>19</v>
      </c>
      <c r="F144" s="21">
        <v>1</v>
      </c>
      <c r="G144" s="22" t="s">
        <v>343</v>
      </c>
      <c r="H144" s="20" t="s">
        <v>856</v>
      </c>
      <c r="I144" s="34"/>
      <c r="J144" s="34"/>
      <c r="K144" s="265"/>
      <c r="L144" s="265"/>
      <c r="M144" s="265"/>
      <c r="N144" s="265"/>
      <c r="O144" s="265"/>
      <c r="P144" s="265"/>
      <c r="Q144" s="265"/>
      <c r="R144" s="265"/>
      <c r="S144" s="199"/>
      <c r="T144" s="105">
        <f>SUM(Table1[[#This Row],[B]:[Blank]])</f>
        <v>0</v>
      </c>
      <c r="U144" s="116">
        <v>1.1531418901424539</v>
      </c>
      <c r="V144" s="118">
        <f t="shared" si="6"/>
        <v>0</v>
      </c>
      <c r="W144" s="121">
        <v>1085</v>
      </c>
      <c r="X144" s="111">
        <f>Table1[[#This Row],[Coil Size]]*Table1[[#This Row],[D10]]/1000*VLOOKUP(Table1[[#This Row],[Navision Code]],'TABULAR PRICE LIST'!A:L,11,FALSE)</f>
        <v>0</v>
      </c>
      <c r="Y144" s="131">
        <f>IFERROR(Table1[[#This Row],[Coil Size]]*Table1[[#This Row],[D10]]/1000*VLOOKUP(Table1[[#This Row],[Navision Code]],'TABULAR PRICE LIST'!A:L,10,FALSE),0)</f>
        <v>0</v>
      </c>
      <c r="Z144" s="121">
        <f>VLOOKUP(C144,'TABULAR PRICE LIST'!$A:$L,12,FALSE)</f>
        <v>5685.68</v>
      </c>
      <c r="AA144" s="121">
        <f>Table1[[#This Row],[Coil Size]]*Table1[[#This Row],[D10]]/1000</f>
        <v>0</v>
      </c>
      <c r="AB144" s="121">
        <f>Table1[[#This Row],[Weight/KYD]]*Table1[[#This Row],[D10]]</f>
        <v>0</v>
      </c>
      <c r="AC144" s="177"/>
      <c r="AD144" s="121">
        <v>1</v>
      </c>
    </row>
    <row r="145" spans="1:30" thickBot="1" x14ac:dyDescent="0.5">
      <c r="A145" s="189" t="s">
        <v>34</v>
      </c>
      <c r="B145" s="18">
        <f t="shared" si="4"/>
        <v>130</v>
      </c>
      <c r="C145" s="21" t="s">
        <v>858</v>
      </c>
      <c r="D145" s="21" t="s">
        <v>211</v>
      </c>
      <c r="E145" s="21" t="s">
        <v>19</v>
      </c>
      <c r="F145" s="21">
        <v>1</v>
      </c>
      <c r="G145" s="22" t="s">
        <v>343</v>
      </c>
      <c r="H145" s="33" t="s">
        <v>857</v>
      </c>
      <c r="I145" s="20"/>
      <c r="J145" s="28"/>
      <c r="K145" s="235"/>
      <c r="L145" s="235"/>
      <c r="M145" s="235"/>
      <c r="N145" s="235"/>
      <c r="O145" s="235"/>
      <c r="P145" s="235"/>
      <c r="Q145" s="235"/>
      <c r="R145" s="235"/>
      <c r="S145" s="197"/>
      <c r="T145" s="105">
        <f>SUM(Table1[[#This Row],[B]:[Blank]])</f>
        <v>0</v>
      </c>
      <c r="U145" s="116">
        <v>1.9818760905296</v>
      </c>
      <c r="V145" s="118">
        <f t="shared" si="6"/>
        <v>0</v>
      </c>
      <c r="W145" s="121">
        <v>1798.67</v>
      </c>
      <c r="X145" s="111">
        <f>Table1[[#This Row],[Coil Size]]*Table1[[#This Row],[D10]]/1000*VLOOKUP(Table1[[#This Row],[Navision Code]],'TABULAR PRICE LIST'!A:L,11,FALSE)</f>
        <v>0</v>
      </c>
      <c r="Y145" s="131">
        <f>IFERROR(Table1[[#This Row],[Coil Size]]*Table1[[#This Row],[D10]]/1000*VLOOKUP(Table1[[#This Row],[Navision Code]],'TABULAR PRICE LIST'!A:L,10,FALSE),0)</f>
        <v>0</v>
      </c>
      <c r="Z145" s="121">
        <f>VLOOKUP(C145,'TABULAR PRICE LIST'!$A:$L,12,FALSE)</f>
        <v>9653.2800000000007</v>
      </c>
      <c r="AA145" s="121">
        <f>Table1[[#This Row],[Coil Size]]*Table1[[#This Row],[D10]]/1000</f>
        <v>0</v>
      </c>
      <c r="AB145" s="121">
        <f>Table1[[#This Row],[Weight/KYD]]*Table1[[#This Row],[D10]]</f>
        <v>0</v>
      </c>
      <c r="AC145" s="177"/>
      <c r="AD145" s="121">
        <v>3</v>
      </c>
    </row>
    <row r="146" spans="1:30" thickBot="1" x14ac:dyDescent="0.5">
      <c r="A146" s="189" t="s">
        <v>34</v>
      </c>
      <c r="B146" s="18">
        <f t="shared" si="4"/>
        <v>131</v>
      </c>
      <c r="C146" s="21" t="s">
        <v>517</v>
      </c>
      <c r="D146" s="21" t="s">
        <v>211</v>
      </c>
      <c r="E146" s="21" t="s">
        <v>19</v>
      </c>
      <c r="F146" s="21">
        <v>1</v>
      </c>
      <c r="G146" s="22" t="s">
        <v>343</v>
      </c>
      <c r="H146" s="22" t="s">
        <v>566</v>
      </c>
      <c r="I146" s="20"/>
      <c r="J146" s="20"/>
      <c r="K146" s="233"/>
      <c r="L146" s="233"/>
      <c r="M146" s="233"/>
      <c r="N146" s="233"/>
      <c r="O146" s="233"/>
      <c r="P146" s="233"/>
      <c r="Q146" s="233"/>
      <c r="R146" s="233"/>
      <c r="S146" s="193"/>
      <c r="T146" s="105">
        <f>SUM(Table1[[#This Row],[B]:[Blank]])</f>
        <v>0</v>
      </c>
      <c r="U146" s="116">
        <v>0.31489359738048656</v>
      </c>
      <c r="V146" s="118">
        <f t="shared" si="6"/>
        <v>0</v>
      </c>
      <c r="W146" s="121">
        <v>311.39999999999998</v>
      </c>
      <c r="X146" s="111">
        <f>Table1[[#This Row],[Coil Size]]*Table1[[#This Row],[D10]]/1000*VLOOKUP(Table1[[#This Row],[Navision Code]],'TABULAR PRICE LIST'!A:L,11,FALSE)</f>
        <v>0</v>
      </c>
      <c r="Y146" s="131">
        <f>IFERROR(Table1[[#This Row],[Coil Size]]*Table1[[#This Row],[D10]]/1000*VLOOKUP(Table1[[#This Row],[Navision Code]],'TABULAR PRICE LIST'!A:L,10,FALSE),0)</f>
        <v>0</v>
      </c>
      <c r="Z146" s="121">
        <f>VLOOKUP(C146,'TABULAR PRICE LIST'!$A:$L,12,FALSE)</f>
        <v>1490.5800000000002</v>
      </c>
      <c r="AA146" s="121">
        <f>Table1[[#This Row],[Coil Size]]*Table1[[#This Row],[D10]]/1000</f>
        <v>0</v>
      </c>
      <c r="AB146" s="121">
        <f>Table1[[#This Row],[Weight/KYD]]*Table1[[#This Row],[D10]]</f>
        <v>0</v>
      </c>
      <c r="AC146" s="177"/>
      <c r="AD146" s="121">
        <v>1</v>
      </c>
    </row>
    <row r="147" spans="1:30" thickBot="1" x14ac:dyDescent="0.5">
      <c r="A147" s="189" t="s">
        <v>34</v>
      </c>
      <c r="B147" s="18">
        <f t="shared" si="4"/>
        <v>132</v>
      </c>
      <c r="C147" s="21" t="s">
        <v>518</v>
      </c>
      <c r="D147" s="21" t="s">
        <v>211</v>
      </c>
      <c r="E147" s="21" t="s">
        <v>19</v>
      </c>
      <c r="F147" s="21">
        <v>1</v>
      </c>
      <c r="G147" s="22" t="s">
        <v>343</v>
      </c>
      <c r="H147" s="22" t="s">
        <v>567</v>
      </c>
      <c r="I147" s="20"/>
      <c r="J147" s="20"/>
      <c r="K147" s="230"/>
      <c r="L147" s="230"/>
      <c r="M147" s="230"/>
      <c r="N147" s="230"/>
      <c r="O147" s="230"/>
      <c r="P147" s="230"/>
      <c r="Q147" s="230"/>
      <c r="R147" s="230"/>
      <c r="S147" s="193"/>
      <c r="T147" s="105">
        <f>SUM(Table1[[#This Row],[B]:[Blank]])</f>
        <v>0</v>
      </c>
      <c r="U147" s="116">
        <v>0.45300000000000001</v>
      </c>
      <c r="V147" s="118">
        <f t="shared" si="6"/>
        <v>0</v>
      </c>
      <c r="W147" s="121">
        <v>447.84</v>
      </c>
      <c r="X147" s="111">
        <f>Table1[[#This Row],[Coil Size]]*Table1[[#This Row],[D10]]/1000*VLOOKUP(Table1[[#This Row],[Navision Code]],'TABULAR PRICE LIST'!A:L,11,FALSE)</f>
        <v>0</v>
      </c>
      <c r="Y147" s="131">
        <f>IFERROR(Table1[[#This Row],[Coil Size]]*Table1[[#This Row],[D10]]/1000*VLOOKUP(Table1[[#This Row],[Navision Code]],'TABULAR PRICE LIST'!A:L,10,FALSE),0)</f>
        <v>0</v>
      </c>
      <c r="Z147" s="121">
        <f>VLOOKUP(C147,'TABULAR PRICE LIST'!$A:$L,12,FALSE)</f>
        <v>2217.67</v>
      </c>
      <c r="AA147" s="121">
        <f>Table1[[#This Row],[Coil Size]]*Table1[[#This Row],[D10]]/1000</f>
        <v>0</v>
      </c>
      <c r="AB147" s="121">
        <f>Table1[[#This Row],[Weight/KYD]]*Table1[[#This Row],[D10]]</f>
        <v>0</v>
      </c>
      <c r="AC147" s="177"/>
      <c r="AD147" s="121">
        <v>1</v>
      </c>
    </row>
    <row r="148" spans="1:30" thickBot="1" x14ac:dyDescent="0.5">
      <c r="A148" s="189" t="s">
        <v>34</v>
      </c>
      <c r="B148" s="18">
        <f t="shared" si="4"/>
        <v>133</v>
      </c>
      <c r="C148" s="30" t="s">
        <v>519</v>
      </c>
      <c r="D148" s="30" t="s">
        <v>211</v>
      </c>
      <c r="E148" s="30" t="s">
        <v>19</v>
      </c>
      <c r="F148" s="30">
        <v>1</v>
      </c>
      <c r="G148" s="31" t="s">
        <v>343</v>
      </c>
      <c r="H148" s="31" t="s">
        <v>568</v>
      </c>
      <c r="I148" s="28"/>
      <c r="J148" s="28"/>
      <c r="K148" s="235"/>
      <c r="L148" s="235"/>
      <c r="M148" s="235"/>
      <c r="N148" s="235"/>
      <c r="O148" s="235"/>
      <c r="P148" s="235"/>
      <c r="Q148" s="235"/>
      <c r="R148" s="235"/>
      <c r="S148" s="197"/>
      <c r="T148" s="106">
        <f>SUM(Table1[[#This Row],[B]:[Blank]])</f>
        <v>0</v>
      </c>
      <c r="U148" s="119">
        <v>0.62</v>
      </c>
      <c r="V148" s="120">
        <f t="shared" si="6"/>
        <v>0</v>
      </c>
      <c r="W148" s="133">
        <v>593.03</v>
      </c>
      <c r="X148" s="111">
        <f>Table1[[#This Row],[Coil Size]]*Table1[[#This Row],[D10]]/1000*VLOOKUP(Table1[[#This Row],[Navision Code]],'TABULAR PRICE LIST'!A:L,11,FALSE)</f>
        <v>0</v>
      </c>
      <c r="Y148" s="131">
        <f>IFERROR(Table1[[#This Row],[Coil Size]]*Table1[[#This Row],[D10]]/1000*VLOOKUP(Table1[[#This Row],[Navision Code]],'TABULAR PRICE LIST'!A:L,10,FALSE),0)</f>
        <v>0</v>
      </c>
      <c r="Z148" s="133">
        <f>VLOOKUP(C148,'TABULAR PRICE LIST'!$A:$L,12,FALSE)</f>
        <v>2987.53</v>
      </c>
      <c r="AA148" s="133">
        <f>Table1[[#This Row],[Coil Size]]*Table1[[#This Row],[D10]]/1000</f>
        <v>0</v>
      </c>
      <c r="AB148" s="133">
        <f>Table1[[#This Row],[Weight/KYD]]*Table1[[#This Row],[D10]]</f>
        <v>0</v>
      </c>
      <c r="AC148" s="177"/>
      <c r="AD148" s="133">
        <v>1</v>
      </c>
    </row>
    <row r="149" spans="1:30" ht="18.5" x14ac:dyDescent="0.45">
      <c r="A149" s="189" t="s">
        <v>34</v>
      </c>
      <c r="B149" s="18">
        <f t="shared" ref="B149:B175" si="7">B148+1</f>
        <v>134</v>
      </c>
      <c r="C149" s="32" t="s">
        <v>464</v>
      </c>
      <c r="D149" s="32" t="s">
        <v>211</v>
      </c>
      <c r="E149" s="32" t="s">
        <v>19</v>
      </c>
      <c r="F149" s="32">
        <v>1</v>
      </c>
      <c r="G149" s="33" t="s">
        <v>129</v>
      </c>
      <c r="H149" s="33" t="s">
        <v>445</v>
      </c>
      <c r="I149" s="237"/>
      <c r="J149" s="237"/>
      <c r="K149" s="267"/>
      <c r="L149" s="267"/>
      <c r="M149" s="267"/>
      <c r="N149" s="267"/>
      <c r="O149" s="267"/>
      <c r="P149" s="267"/>
      <c r="Q149" s="233"/>
      <c r="R149" s="267"/>
      <c r="S149" s="240"/>
      <c r="T149" s="107">
        <f>SUM(Table1[[#This Row],[B]:[Blank]])</f>
        <v>0</v>
      </c>
      <c r="U149" s="125">
        <v>0.245</v>
      </c>
      <c r="V149" s="126">
        <f t="shared" si="6"/>
        <v>0</v>
      </c>
      <c r="W149" s="127">
        <v>169.13</v>
      </c>
      <c r="X149" s="111">
        <f>Table1[[#This Row],[Coil Size]]*Table1[[#This Row],[D10]]/1000*VLOOKUP(Table1[[#This Row],[Navision Code]],'TABULAR PRICE LIST'!A:L,11,FALSE)</f>
        <v>0</v>
      </c>
      <c r="Y149" s="111">
        <f>IFERROR(Table1[[#This Row],[Coil Size]]*Table1[[#This Row],[D10]]/1000*VLOOKUP(Table1[[#This Row],[Navision Code]],'TABULAR PRICE LIST'!A:L,10,FALSE),0)</f>
        <v>0</v>
      </c>
      <c r="Z149" s="127">
        <f>VLOOKUP(C149,'TABULAR PRICE LIST'!$A:$L,12,FALSE)</f>
        <v>2624</v>
      </c>
      <c r="AA149" s="127">
        <f>Table1[[#This Row],[Coil Size]]*Table1[[#This Row],[D10]]/1000</f>
        <v>0</v>
      </c>
      <c r="AB149" s="127">
        <f>Table1[[#This Row],[Weight/KYD]]*Table1[[#This Row],[D10]]</f>
        <v>0</v>
      </c>
      <c r="AC149" s="177"/>
      <c r="AD149" s="127">
        <v>1</v>
      </c>
    </row>
    <row r="150" spans="1:30" ht="18.5" x14ac:dyDescent="0.45">
      <c r="A150" s="189" t="s">
        <v>34</v>
      </c>
      <c r="B150" s="18">
        <f t="shared" si="7"/>
        <v>135</v>
      </c>
      <c r="C150" s="21" t="s">
        <v>465</v>
      </c>
      <c r="D150" s="21" t="s">
        <v>211</v>
      </c>
      <c r="E150" s="21" t="s">
        <v>19</v>
      </c>
      <c r="F150" s="21">
        <v>1</v>
      </c>
      <c r="G150" s="22" t="s">
        <v>129</v>
      </c>
      <c r="H150" s="22" t="s">
        <v>446</v>
      </c>
      <c r="I150" s="20"/>
      <c r="J150" s="20"/>
      <c r="K150" s="233"/>
      <c r="L150" s="233"/>
      <c r="M150" s="233"/>
      <c r="N150" s="233"/>
      <c r="O150" s="233"/>
      <c r="P150" s="233"/>
      <c r="Q150" s="193"/>
      <c r="R150" s="233"/>
      <c r="S150" s="193"/>
      <c r="T150" s="105">
        <f>SUM(Table1[[#This Row],[B]:[Blank]])</f>
        <v>0</v>
      </c>
      <c r="U150" s="116">
        <v>0.25</v>
      </c>
      <c r="V150" s="118">
        <f t="shared" si="6"/>
        <v>0</v>
      </c>
      <c r="W150" s="121">
        <v>213.12</v>
      </c>
      <c r="X150" s="111">
        <f>Table1[[#This Row],[Coil Size]]*Table1[[#This Row],[D10]]/1000*VLOOKUP(Table1[[#This Row],[Navision Code]],'TABULAR PRICE LIST'!A:L,11,FALSE)</f>
        <v>0</v>
      </c>
      <c r="Y150" s="111">
        <f>IFERROR(Table1[[#This Row],[Coil Size]]*Table1[[#This Row],[D10]]/1000*VLOOKUP(Table1[[#This Row],[Navision Code]],'TABULAR PRICE LIST'!A:L,10,FALSE),0)</f>
        <v>0</v>
      </c>
      <c r="Z150" s="127">
        <f>VLOOKUP(C150,'TABULAR PRICE LIST'!$A:$L,12,FALSE)</f>
        <v>3258</v>
      </c>
      <c r="AA150" s="127">
        <f>Table1[[#This Row],[Coil Size]]*Table1[[#This Row],[D10]]/1000</f>
        <v>0</v>
      </c>
      <c r="AB150" s="121">
        <f>Table1[[#This Row],[Weight/KYD]]*Table1[[#This Row],[D10]]</f>
        <v>0</v>
      </c>
      <c r="AC150" s="177"/>
      <c r="AD150" s="121">
        <v>1</v>
      </c>
    </row>
    <row r="151" spans="1:30" ht="18.5" x14ac:dyDescent="0.45">
      <c r="A151" s="189" t="s">
        <v>34</v>
      </c>
      <c r="B151" s="18">
        <f t="shared" si="7"/>
        <v>136</v>
      </c>
      <c r="C151" s="21" t="s">
        <v>466</v>
      </c>
      <c r="D151" s="21" t="s">
        <v>211</v>
      </c>
      <c r="E151" s="21" t="s">
        <v>19</v>
      </c>
      <c r="F151" s="21">
        <v>1</v>
      </c>
      <c r="G151" s="22" t="s">
        <v>129</v>
      </c>
      <c r="H151" s="22" t="s">
        <v>447</v>
      </c>
      <c r="I151" s="20"/>
      <c r="J151" s="20"/>
      <c r="K151" s="232"/>
      <c r="L151" s="232"/>
      <c r="M151" s="232"/>
      <c r="N151" s="232"/>
      <c r="O151" s="232"/>
      <c r="P151" s="232"/>
      <c r="Q151" s="232"/>
      <c r="R151" s="232"/>
      <c r="S151" s="199"/>
      <c r="T151" s="105">
        <f>SUM(Table1[[#This Row],[B]:[Blank]])</f>
        <v>0</v>
      </c>
      <c r="U151" s="116">
        <v>0.36699999999999999</v>
      </c>
      <c r="V151" s="118">
        <f t="shared" si="6"/>
        <v>0</v>
      </c>
      <c r="W151" s="121">
        <v>305.64</v>
      </c>
      <c r="X151" s="111">
        <f>Table1[[#This Row],[Coil Size]]*Table1[[#This Row],[D10]]/1000*VLOOKUP(Table1[[#This Row],[Navision Code]],'TABULAR PRICE LIST'!A:L,11,FALSE)</f>
        <v>0</v>
      </c>
      <c r="Y151" s="111">
        <f>IFERROR(Table1[[#This Row],[Coil Size]]*Table1[[#This Row],[D10]]/1000*VLOOKUP(Table1[[#This Row],[Navision Code]],'TABULAR PRICE LIST'!A:L,10,FALSE),0)</f>
        <v>0</v>
      </c>
      <c r="Z151" s="127">
        <f>VLOOKUP(C151,'TABULAR PRICE LIST'!$A:$L,12,FALSE)</f>
        <v>4803</v>
      </c>
      <c r="AA151" s="127">
        <f>Table1[[#This Row],[Coil Size]]*Table1[[#This Row],[D10]]/1000</f>
        <v>0</v>
      </c>
      <c r="AB151" s="121">
        <f>Table1[[#This Row],[Weight/KYD]]*Table1[[#This Row],[D10]]</f>
        <v>0</v>
      </c>
      <c r="AC151" s="177"/>
      <c r="AD151" s="121">
        <v>1</v>
      </c>
    </row>
    <row r="152" spans="1:30" ht="18.5" x14ac:dyDescent="0.45">
      <c r="A152" s="189" t="s">
        <v>34</v>
      </c>
      <c r="B152" s="18">
        <f t="shared" si="7"/>
        <v>137</v>
      </c>
      <c r="C152" s="211" t="s">
        <v>821</v>
      </c>
      <c r="D152" s="21" t="s">
        <v>211</v>
      </c>
      <c r="E152" s="21" t="s">
        <v>19</v>
      </c>
      <c r="F152" s="21">
        <v>1</v>
      </c>
      <c r="G152" s="212" t="s">
        <v>76</v>
      </c>
      <c r="H152" s="22" t="s">
        <v>823</v>
      </c>
      <c r="I152" s="20"/>
      <c r="J152" s="20"/>
      <c r="K152" s="231"/>
      <c r="L152" s="231"/>
      <c r="M152" s="231"/>
      <c r="N152" s="231"/>
      <c r="O152" s="231"/>
      <c r="P152" s="231"/>
      <c r="Q152" s="231"/>
      <c r="R152" s="231"/>
      <c r="S152" s="197"/>
      <c r="T152" s="215">
        <f>SUM(Table1[[#This Row],[B]:[Blank]])</f>
        <v>0</v>
      </c>
      <c r="U152" s="216"/>
      <c r="V152" s="118">
        <f t="shared" si="6"/>
        <v>0</v>
      </c>
      <c r="W152" s="218">
        <v>97.05</v>
      </c>
      <c r="X152" s="111">
        <f>Table1[[#This Row],[Coil Size]]*Table1[[#This Row],[D10]]/1000*VLOOKUP(Table1[[#This Row],[Navision Code]],'TABULAR PRICE LIST'!A:L,11,FALSE)</f>
        <v>0</v>
      </c>
      <c r="Y152" s="111">
        <f>IFERROR(Table1[[#This Row],[Coil Size]]*Table1[[#This Row],[D10]]/1000*VLOOKUP(Table1[[#This Row],[Navision Code]],'TABULAR PRICE LIST'!A:L,10,FALSE),0)</f>
        <v>0</v>
      </c>
      <c r="Z152" s="127"/>
      <c r="AA152" s="127">
        <f>Table1[[#This Row],[Coil Size]]*Table1[[#This Row],[D10]]/1000</f>
        <v>0</v>
      </c>
      <c r="AB152" s="218">
        <f>Table1[[#This Row],[Weight/KYD]]*Table1[[#This Row],[D10]]</f>
        <v>0</v>
      </c>
      <c r="AC152" s="177"/>
      <c r="AD152" s="121"/>
    </row>
    <row r="153" spans="1:30" ht="18.5" x14ac:dyDescent="0.45">
      <c r="A153" s="189" t="s">
        <v>34</v>
      </c>
      <c r="B153" s="18">
        <f t="shared" si="7"/>
        <v>138</v>
      </c>
      <c r="C153" s="211" t="s">
        <v>822</v>
      </c>
      <c r="D153" s="21" t="s">
        <v>211</v>
      </c>
      <c r="E153" s="21" t="s">
        <v>19</v>
      </c>
      <c r="F153" s="21">
        <v>1</v>
      </c>
      <c r="G153" s="212" t="s">
        <v>76</v>
      </c>
      <c r="H153" s="22" t="s">
        <v>603</v>
      </c>
      <c r="I153" s="20"/>
      <c r="J153" s="20"/>
      <c r="K153" s="233"/>
      <c r="L153" s="233"/>
      <c r="M153" s="233"/>
      <c r="N153" s="233"/>
      <c r="O153" s="233"/>
      <c r="P153" s="233"/>
      <c r="Q153" s="233"/>
      <c r="R153" s="233"/>
      <c r="S153" s="193"/>
      <c r="T153" s="215">
        <f>SUM(Table1[[#This Row],[B]:[Blank]])</f>
        <v>0</v>
      </c>
      <c r="U153" s="216"/>
      <c r="V153" s="118">
        <f t="shared" si="6"/>
        <v>0</v>
      </c>
      <c r="W153" s="218">
        <v>3328</v>
      </c>
      <c r="X153" s="111"/>
      <c r="Y153" s="111">
        <f>IFERROR(Table1[[#This Row],[Coil Size]]*Table1[[#This Row],[D10]]/1000*VLOOKUP(Table1[[#This Row],[Navision Code]],'TABULAR PRICE LIST'!A:L,10,FALSE),0)</f>
        <v>0</v>
      </c>
      <c r="Z153" s="127"/>
      <c r="AA153" s="127">
        <f>Table1[[#This Row],[Coil Size]]*Table1[[#This Row],[D10]]/1000</f>
        <v>0</v>
      </c>
      <c r="AB153" s="218">
        <f>Table1[[#This Row],[Weight/KYD]]*Table1[[#This Row],[D10]]</f>
        <v>0</v>
      </c>
      <c r="AC153" s="177"/>
      <c r="AD153" s="121"/>
    </row>
    <row r="154" spans="1:30" ht="18.5" x14ac:dyDescent="0.45">
      <c r="A154" s="189" t="s">
        <v>34</v>
      </c>
      <c r="B154" s="18">
        <f t="shared" si="7"/>
        <v>139</v>
      </c>
      <c r="C154" s="211" t="s">
        <v>825</v>
      </c>
      <c r="D154" s="21" t="s">
        <v>211</v>
      </c>
      <c r="E154" s="21" t="s">
        <v>19</v>
      </c>
      <c r="F154" s="21">
        <v>1</v>
      </c>
      <c r="G154" s="212" t="s">
        <v>76</v>
      </c>
      <c r="H154" s="22" t="s">
        <v>604</v>
      </c>
      <c r="I154" s="20"/>
      <c r="J154" s="20"/>
      <c r="K154" s="231"/>
      <c r="L154" s="231"/>
      <c r="M154" s="231"/>
      <c r="N154" s="231"/>
      <c r="O154" s="231"/>
      <c r="P154" s="231"/>
      <c r="Q154" s="231"/>
      <c r="R154" s="231"/>
      <c r="S154" s="197"/>
      <c r="T154" s="215">
        <f>SUM(Table1[[#This Row],[B]:[Blank]])</f>
        <v>0</v>
      </c>
      <c r="U154" s="216">
        <v>10.177</v>
      </c>
      <c r="V154" s="118">
        <f t="shared" si="6"/>
        <v>0</v>
      </c>
      <c r="W154" s="218">
        <v>180.57999999999998</v>
      </c>
      <c r="X154" s="111">
        <f>Table1[[#This Row],[Coil Size]]*Table1[[#This Row],[D10]]/1000*VLOOKUP(Table1[[#This Row],[Navision Code]],'TABULAR PRICE LIST'!A:L,11,FALSE)</f>
        <v>0</v>
      </c>
      <c r="Y154" s="111">
        <f>IFERROR(Table1[[#This Row],[Coil Size]]*Table1[[#This Row],[D10]]/1000*VLOOKUP(Table1[[#This Row],[Navision Code]],'TABULAR PRICE LIST'!A:L,10,FALSE),0)</f>
        <v>0</v>
      </c>
      <c r="Z154" s="127">
        <f>VLOOKUP(C154,'TABULAR PRICE LIST'!$A:$L,12,FALSE)</f>
        <v>1901</v>
      </c>
      <c r="AA154" s="218">
        <f>Table1[[#This Row],[Coil Size]]*Table1[[#This Row],[D10]]/1000</f>
        <v>0</v>
      </c>
      <c r="AB154" s="218">
        <f>Table1[[#This Row],[Weight/KYD]]*Table1[[#This Row],[D10]]</f>
        <v>0</v>
      </c>
      <c r="AC154" s="177"/>
      <c r="AD154" s="121"/>
    </row>
    <row r="155" spans="1:30" ht="18.5" x14ac:dyDescent="0.45">
      <c r="A155" s="189" t="s">
        <v>34</v>
      </c>
      <c r="B155" s="18">
        <f t="shared" si="7"/>
        <v>140</v>
      </c>
      <c r="C155" s="211" t="s">
        <v>561</v>
      </c>
      <c r="D155" s="21" t="s">
        <v>211</v>
      </c>
      <c r="E155" s="21" t="s">
        <v>19</v>
      </c>
      <c r="F155" s="21">
        <v>1</v>
      </c>
      <c r="G155" s="212" t="s">
        <v>76</v>
      </c>
      <c r="H155" s="22" t="s">
        <v>605</v>
      </c>
      <c r="I155" s="20"/>
      <c r="J155" s="20"/>
      <c r="K155" s="233"/>
      <c r="L155" s="233"/>
      <c r="M155" s="233"/>
      <c r="N155" s="233"/>
      <c r="O155" s="233"/>
      <c r="P155" s="233"/>
      <c r="Q155" s="233"/>
      <c r="R155" s="233"/>
      <c r="S155" s="193"/>
      <c r="T155" s="215">
        <f>SUM(Table1[[#This Row],[B]:[Blank]])</f>
        <v>0</v>
      </c>
      <c r="U155" s="216">
        <v>15.225</v>
      </c>
      <c r="V155" s="118">
        <f t="shared" si="6"/>
        <v>0</v>
      </c>
      <c r="W155" s="218">
        <v>165.33</v>
      </c>
      <c r="X155" s="111">
        <f>Table1[[#This Row],[Coil Size]]*Table1[[#This Row],[D10]]/1000*VLOOKUP(Table1[[#This Row],[Navision Code]],'TABULAR PRICE LIST'!A:L,11,FALSE)</f>
        <v>0</v>
      </c>
      <c r="Y155" s="111">
        <f>IFERROR(Table1[[#This Row],[Coil Size]]*Table1[[#This Row],[D10]]/1000*VLOOKUP(Table1[[#This Row],[Navision Code]],'TABULAR PRICE LIST'!A:L,10,FALSE),0)</f>
        <v>0</v>
      </c>
      <c r="Z155" s="127">
        <f>VLOOKUP(C155,'TABULAR PRICE LIST'!$A:$L,12,FALSE)</f>
        <v>3102</v>
      </c>
      <c r="AA155" s="218">
        <f>Table1[[#This Row],[Coil Size]]*Table1[[#This Row],[D10]]/1000</f>
        <v>0</v>
      </c>
      <c r="AB155" s="218">
        <f>Table1[[#This Row],[Weight/KYD]]*Table1[[#This Row],[D10]]</f>
        <v>0</v>
      </c>
      <c r="AC155" s="177"/>
      <c r="AD155" s="121"/>
    </row>
    <row r="156" spans="1:30" ht="18.5" x14ac:dyDescent="0.45">
      <c r="A156" s="189" t="s">
        <v>34</v>
      </c>
      <c r="B156" s="18">
        <f t="shared" si="7"/>
        <v>141</v>
      </c>
      <c r="C156" s="211" t="s">
        <v>562</v>
      </c>
      <c r="D156" s="21" t="s">
        <v>211</v>
      </c>
      <c r="E156" s="21" t="s">
        <v>19</v>
      </c>
      <c r="F156" s="21">
        <v>1</v>
      </c>
      <c r="G156" s="212" t="s">
        <v>76</v>
      </c>
      <c r="H156" s="22" t="s">
        <v>606</v>
      </c>
      <c r="I156" s="20"/>
      <c r="J156" s="20"/>
      <c r="K156" s="230"/>
      <c r="L156" s="230"/>
      <c r="M156" s="230"/>
      <c r="N156" s="230"/>
      <c r="O156" s="230"/>
      <c r="P156" s="230"/>
      <c r="Q156" s="230"/>
      <c r="R156" s="230"/>
      <c r="S156" s="193"/>
      <c r="T156" s="215">
        <f>SUM(Table1[[#This Row],[B]:[Blank]])</f>
        <v>0</v>
      </c>
      <c r="U156" s="216">
        <v>23.15</v>
      </c>
      <c r="V156" s="118">
        <f t="shared" si="6"/>
        <v>0</v>
      </c>
      <c r="W156" s="218">
        <v>261.60000000000002</v>
      </c>
      <c r="X156" s="111">
        <f>Table1[[#This Row],[Coil Size]]*Table1[[#This Row],[D10]]/1000*VLOOKUP(Table1[[#This Row],[Navision Code]],'TABULAR PRICE LIST'!A:L,11,FALSE)</f>
        <v>0</v>
      </c>
      <c r="Y156" s="111">
        <f>IFERROR(Table1[[#This Row],[Coil Size]]*Table1[[#This Row],[D10]]/1000*VLOOKUP(Table1[[#This Row],[Navision Code]],'TABULAR PRICE LIST'!A:L,10,FALSE),0)</f>
        <v>0</v>
      </c>
      <c r="Z156" s="127">
        <f>VLOOKUP(C156,'TABULAR PRICE LIST'!$A:$L,12,FALSE)</f>
        <v>4807</v>
      </c>
      <c r="AA156" s="218">
        <f>Table1[[#This Row],[Coil Size]]*Table1[[#This Row],[D10]]/1000</f>
        <v>0</v>
      </c>
      <c r="AB156" s="218">
        <f>Table1[[#This Row],[Weight/KYD]]*Table1[[#This Row],[D10]]</f>
        <v>0</v>
      </c>
      <c r="AC156" s="177"/>
      <c r="AD156" s="121"/>
    </row>
    <row r="157" spans="1:30" ht="18.5" x14ac:dyDescent="0.45">
      <c r="A157" s="189" t="s">
        <v>34</v>
      </c>
      <c r="B157" s="18">
        <f t="shared" si="7"/>
        <v>142</v>
      </c>
      <c r="C157" s="211" t="s">
        <v>563</v>
      </c>
      <c r="D157" s="21" t="s">
        <v>211</v>
      </c>
      <c r="E157" s="21" t="s">
        <v>19</v>
      </c>
      <c r="F157" s="21">
        <v>1</v>
      </c>
      <c r="G157" s="212" t="s">
        <v>212</v>
      </c>
      <c r="H157" s="22" t="s">
        <v>826</v>
      </c>
      <c r="I157" s="20"/>
      <c r="J157" s="20"/>
      <c r="K157" s="234"/>
      <c r="L157" s="234"/>
      <c r="M157" s="234"/>
      <c r="N157" s="234"/>
      <c r="O157" s="234"/>
      <c r="P157" s="234"/>
      <c r="Q157" s="234"/>
      <c r="R157" s="234"/>
      <c r="S157" s="264"/>
      <c r="T157" s="215">
        <f>SUM(Table1[[#This Row],[B]:[Blank]])</f>
        <v>0</v>
      </c>
      <c r="U157" s="216">
        <v>32.1</v>
      </c>
      <c r="V157" s="118">
        <f t="shared" si="6"/>
        <v>0</v>
      </c>
      <c r="W157" s="218">
        <v>352.3</v>
      </c>
      <c r="X157" s="111">
        <f>Table1[[#This Row],[Coil Size]]*Table1[[#This Row],[D10]]/1000*VLOOKUP(Table1[[#This Row],[Navision Code]],'TABULAR PRICE LIST'!A:L,11,FALSE)</f>
        <v>0</v>
      </c>
      <c r="Y157" s="111">
        <f>IFERROR(Table1[[#This Row],[Coil Size]]*Table1[[#This Row],[D10]]/1000*VLOOKUP(Table1[[#This Row],[Navision Code]],'TABULAR PRICE LIST'!A:L,10,FALSE),0)</f>
        <v>0</v>
      </c>
      <c r="Z157" s="127">
        <f>VLOOKUP(C157,'TABULAR PRICE LIST'!$A:$L,12,FALSE)</f>
        <v>6665</v>
      </c>
      <c r="AA157" s="218">
        <f>Table1[[#This Row],[Coil Size]]*Table1[[#This Row],[D10]]/1000</f>
        <v>0</v>
      </c>
      <c r="AB157" s="218">
        <f>Table1[[#This Row],[Weight/KYD]]*Table1[[#This Row],[D10]]</f>
        <v>0</v>
      </c>
      <c r="AC157" s="177"/>
      <c r="AD157" s="121"/>
    </row>
    <row r="158" spans="1:30" ht="18.5" x14ac:dyDescent="0.45">
      <c r="A158" s="189" t="s">
        <v>34</v>
      </c>
      <c r="B158" s="18">
        <f t="shared" si="7"/>
        <v>143</v>
      </c>
      <c r="C158" s="21" t="s">
        <v>536</v>
      </c>
      <c r="D158" s="21" t="s">
        <v>211</v>
      </c>
      <c r="E158" s="21" t="s">
        <v>19</v>
      </c>
      <c r="F158" s="21">
        <v>1</v>
      </c>
      <c r="G158" s="212" t="s">
        <v>335</v>
      </c>
      <c r="H158" s="22" t="s">
        <v>607</v>
      </c>
      <c r="I158" s="20"/>
      <c r="J158" s="20"/>
      <c r="K158" s="233"/>
      <c r="L158" s="233"/>
      <c r="M158" s="233"/>
      <c r="N158" s="233"/>
      <c r="O158" s="233"/>
      <c r="P158" s="233"/>
      <c r="Q158" s="233"/>
      <c r="R158" s="233"/>
      <c r="S158" s="193"/>
      <c r="T158" s="215">
        <f>SUM(Table1[[#This Row],[B]:[Blank]])</f>
        <v>0</v>
      </c>
      <c r="U158" s="216">
        <v>0.52045608238547281</v>
      </c>
      <c r="V158" s="118">
        <f t="shared" si="6"/>
        <v>0</v>
      </c>
      <c r="W158" s="121">
        <v>439.86</v>
      </c>
      <c r="X158" s="111">
        <f>Table1[[#This Row],[Coil Size]]*Table1[[#This Row],[D10]]/1000*VLOOKUP(Table1[[#This Row],[Navision Code]],'TABULAR PRICE LIST'!A:L,11,FALSE)</f>
        <v>0</v>
      </c>
      <c r="Y158" s="111">
        <f>IFERROR(Table1[[#This Row],[Coil Size]]*Table1[[#This Row],[D10]]/1000*VLOOKUP(Table1[[#This Row],[Navision Code]],'TABULAR PRICE LIST'!A:L,10,FALSE),0)</f>
        <v>0</v>
      </c>
      <c r="Z158" s="127">
        <f>VLOOKUP(C158,'TABULAR PRICE LIST'!$A:$L,12,FALSE)</f>
        <v>7219</v>
      </c>
      <c r="AA158" s="121">
        <f>Table1[[#This Row],[Coil Size]]*Table1[[#This Row],[D10]]/1000</f>
        <v>0</v>
      </c>
      <c r="AB158" s="218">
        <f>Table1[[#This Row],[Weight/KYD]]*Table1[[#This Row],[D10]]</f>
        <v>0</v>
      </c>
      <c r="AC158" s="177"/>
      <c r="AD158" s="121"/>
    </row>
    <row r="159" spans="1:30" ht="18.5" x14ac:dyDescent="0.45">
      <c r="A159" s="189" t="s">
        <v>34</v>
      </c>
      <c r="B159" s="18">
        <f t="shared" si="7"/>
        <v>144</v>
      </c>
      <c r="C159" s="21" t="s">
        <v>537</v>
      </c>
      <c r="D159" s="21" t="s">
        <v>211</v>
      </c>
      <c r="E159" s="21" t="s">
        <v>19</v>
      </c>
      <c r="F159" s="21">
        <v>1</v>
      </c>
      <c r="G159" s="212" t="s">
        <v>335</v>
      </c>
      <c r="H159" s="22" t="s">
        <v>608</v>
      </c>
      <c r="I159" s="20"/>
      <c r="J159" s="29"/>
      <c r="K159" s="230"/>
      <c r="L159" s="230"/>
      <c r="M159" s="230"/>
      <c r="N159" s="230"/>
      <c r="O159" s="230"/>
      <c r="P159" s="230"/>
      <c r="Q159" s="230"/>
      <c r="R159" s="230"/>
      <c r="S159" s="193"/>
      <c r="T159" s="215">
        <f>SUM(Table1[[#This Row],[B]:[Blank]])</f>
        <v>0</v>
      </c>
      <c r="U159" s="216">
        <v>0.70063270197989502</v>
      </c>
      <c r="V159" s="118">
        <f t="shared" si="6"/>
        <v>0</v>
      </c>
      <c r="W159" s="121">
        <v>620.22</v>
      </c>
      <c r="X159" s="111">
        <f>Table1[[#This Row],[Coil Size]]*Table1[[#This Row],[D10]]/1000*VLOOKUP(Table1[[#This Row],[Navision Code]],'TABULAR PRICE LIST'!A:L,11,FALSE)</f>
        <v>0</v>
      </c>
      <c r="Y159" s="111">
        <f>IFERROR(Table1[[#This Row],[Coil Size]]*Table1[[#This Row],[D10]]/1000*VLOOKUP(Table1[[#This Row],[Navision Code]],'TABULAR PRICE LIST'!A:L,10,FALSE),0)</f>
        <v>0</v>
      </c>
      <c r="Z159" s="127">
        <f>VLOOKUP(C159,'TABULAR PRICE LIST'!$A:$L,12,FALSE)</f>
        <v>10196</v>
      </c>
      <c r="AA159" s="121">
        <f>Table1[[#This Row],[Coil Size]]*Table1[[#This Row],[D10]]/1000</f>
        <v>0</v>
      </c>
      <c r="AB159" s="218">
        <f>Table1[[#This Row],[Weight/KYD]]*Table1[[#This Row],[D10]]</f>
        <v>0</v>
      </c>
      <c r="AC159" s="177"/>
      <c r="AD159" s="121"/>
    </row>
    <row r="160" spans="1:30" ht="18.5" x14ac:dyDescent="0.45">
      <c r="A160" s="189" t="s">
        <v>34</v>
      </c>
      <c r="B160" s="18">
        <f t="shared" si="7"/>
        <v>145</v>
      </c>
      <c r="C160" s="222" t="s">
        <v>590</v>
      </c>
      <c r="D160" s="21" t="s">
        <v>211</v>
      </c>
      <c r="E160" s="21" t="s">
        <v>19</v>
      </c>
      <c r="F160" s="21">
        <v>1</v>
      </c>
      <c r="G160" s="223" t="s">
        <v>602</v>
      </c>
      <c r="H160" s="223" t="s">
        <v>596</v>
      </c>
      <c r="I160" s="20"/>
      <c r="J160" s="20"/>
      <c r="K160" s="233"/>
      <c r="L160" s="233"/>
      <c r="M160" s="233"/>
      <c r="N160" s="233"/>
      <c r="O160" s="193"/>
      <c r="P160" s="233"/>
      <c r="Q160" s="233"/>
      <c r="R160" s="233"/>
      <c r="S160" s="193"/>
      <c r="T160" s="226">
        <f>SUM(Table1[[#This Row],[B]:[Blank]])</f>
        <v>0</v>
      </c>
      <c r="U160" s="227">
        <v>0.11799999999999999</v>
      </c>
      <c r="V160" s="118">
        <f t="shared" si="6"/>
        <v>0</v>
      </c>
      <c r="W160" s="229">
        <v>117.91</v>
      </c>
      <c r="X160" s="111">
        <f>Table1[[#This Row],[Coil Size]]*Table1[[#This Row],[D10]]/1000*VLOOKUP(Table1[[#This Row],[Navision Code]],'TABULAR PRICE LIST'!A:L,11,FALSE)</f>
        <v>0</v>
      </c>
      <c r="Y160" s="111">
        <f>IFERROR(Table1[[#This Row],[Coil Size]]*Table1[[#This Row],[D10]]/1000*VLOOKUP(Table1[[#This Row],[Navision Code]],'TABULAR PRICE LIST'!A:L,10,FALSE),0)</f>
        <v>0</v>
      </c>
      <c r="Z160" s="127">
        <f>VLOOKUP(C160,'TABULAR PRICE LIST'!$A:$L,12,FALSE)</f>
        <v>2104</v>
      </c>
      <c r="AA160" s="229">
        <f>Table1[[#This Row],[Coil Size]]*Table1[[#This Row],[D10]]/1000</f>
        <v>0</v>
      </c>
      <c r="AB160" s="229">
        <f>Table1[[#This Row],[Weight/KYD]]*Table1[[#This Row],[D10]]</f>
        <v>0</v>
      </c>
      <c r="AC160" s="177"/>
      <c r="AD160" s="220"/>
    </row>
    <row r="161" spans="1:30" ht="18.5" x14ac:dyDescent="0.45">
      <c r="A161" s="189" t="s">
        <v>34</v>
      </c>
      <c r="B161" s="18">
        <f t="shared" si="7"/>
        <v>146</v>
      </c>
      <c r="C161" s="222" t="s">
        <v>591</v>
      </c>
      <c r="D161" s="21" t="s">
        <v>211</v>
      </c>
      <c r="E161" s="21" t="s">
        <v>19</v>
      </c>
      <c r="F161" s="21">
        <v>1</v>
      </c>
      <c r="G161" s="223" t="s">
        <v>602</v>
      </c>
      <c r="H161" s="223" t="s">
        <v>597</v>
      </c>
      <c r="I161" s="20"/>
      <c r="J161" s="20"/>
      <c r="K161" s="230"/>
      <c r="L161" s="230"/>
      <c r="M161" s="230"/>
      <c r="N161" s="230"/>
      <c r="O161" s="230"/>
      <c r="P161" s="230"/>
      <c r="Q161" s="230"/>
      <c r="R161" s="230"/>
      <c r="S161" s="193"/>
      <c r="T161" s="226">
        <f>SUM(Table1[[#This Row],[B]:[Blank]])</f>
        <v>0</v>
      </c>
      <c r="U161" s="227">
        <v>0.11799999999999999</v>
      </c>
      <c r="V161" s="118">
        <f t="shared" si="6"/>
        <v>0</v>
      </c>
      <c r="W161" s="229">
        <v>117.92</v>
      </c>
      <c r="X161" s="111">
        <f>Table1[[#This Row],[Coil Size]]*Table1[[#This Row],[D10]]/1000*VLOOKUP(Table1[[#This Row],[Navision Code]],'TABULAR PRICE LIST'!A:L,11,FALSE)</f>
        <v>0</v>
      </c>
      <c r="Y161" s="111">
        <f>IFERROR(Table1[[#This Row],[Coil Size]]*Table1[[#This Row],[D10]]/1000*VLOOKUP(Table1[[#This Row],[Navision Code]],'TABULAR PRICE LIST'!A:L,10,FALSE),0)</f>
        <v>0</v>
      </c>
      <c r="Z161" s="127">
        <f>VLOOKUP(C161,'TABULAR PRICE LIST'!$A:$L,12,FALSE)</f>
        <v>2104</v>
      </c>
      <c r="AA161" s="229">
        <f>Table1[[#This Row],[Coil Size]]*Table1[[#This Row],[D10]]/1000</f>
        <v>0</v>
      </c>
      <c r="AB161" s="229">
        <f>Table1[[#This Row],[Weight/KYD]]*Table1[[#This Row],[D10]]</f>
        <v>0</v>
      </c>
      <c r="AC161" s="177"/>
      <c r="AD161" s="220"/>
    </row>
    <row r="162" spans="1:30" ht="18.5" x14ac:dyDescent="0.45">
      <c r="A162" s="189" t="s">
        <v>34</v>
      </c>
      <c r="B162" s="18">
        <f t="shared" si="7"/>
        <v>147</v>
      </c>
      <c r="C162" s="222" t="s">
        <v>609</v>
      </c>
      <c r="D162" s="21" t="s">
        <v>211</v>
      </c>
      <c r="E162" s="21" t="s">
        <v>19</v>
      </c>
      <c r="F162" s="280">
        <v>1</v>
      </c>
      <c r="G162" s="281" t="s">
        <v>602</v>
      </c>
      <c r="H162" s="281" t="s">
        <v>613</v>
      </c>
      <c r="I162" s="282" t="s">
        <v>617</v>
      </c>
      <c r="J162" s="283"/>
      <c r="K162" s="283"/>
      <c r="L162" s="283"/>
      <c r="M162" s="283"/>
      <c r="N162" s="283"/>
      <c r="O162" s="283"/>
      <c r="P162" s="283"/>
      <c r="Q162" s="283"/>
      <c r="R162" s="283"/>
      <c r="S162" s="283"/>
      <c r="T162" s="284">
        <f>SUM(Table1[[#This Row],[B]:[Blank]])</f>
        <v>0</v>
      </c>
      <c r="U162" s="285">
        <v>32.381999999999998</v>
      </c>
      <c r="V162" s="118">
        <f t="shared" si="6"/>
        <v>0</v>
      </c>
      <c r="W162" s="121"/>
      <c r="X162" s="111">
        <f>Table1[[#This Row],[Coil Size]]*Table1[[#This Row],[D10]]/1000*VLOOKUP(Table1[[#This Row],[Navision Code]],'TABULAR PRICE LIST'!A:L,11,FALSE)</f>
        <v>0</v>
      </c>
      <c r="Y162" s="111">
        <f>IFERROR(Table1[[#This Row],[Coil Size]]*Table1[[#This Row],[D10]]/1000*VLOOKUP(Table1[[#This Row],[Navision Code]],'TABULAR PRICE LIST'!A:L,10,FALSE),0)</f>
        <v>0</v>
      </c>
      <c r="Z162" s="127">
        <f>VLOOKUP(C162,'TABULAR PRICE LIST'!$A:$L,12,FALSE)</f>
        <v>1048</v>
      </c>
      <c r="AA162" s="121">
        <f>Table1[[#This Row],[Coil Size]]*Table1[[#This Row],[D10]]/1000</f>
        <v>0</v>
      </c>
      <c r="AB162" s="121">
        <f>Table1[[#This Row],[Weight/KYD]]*Table1[[#This Row],[D10]]</f>
        <v>0</v>
      </c>
      <c r="AC162" s="177"/>
      <c r="AD162" s="220"/>
    </row>
    <row r="163" spans="1:30" ht="18.5" x14ac:dyDescent="0.45">
      <c r="A163" s="189" t="s">
        <v>34</v>
      </c>
      <c r="B163" s="18">
        <f t="shared" si="7"/>
        <v>148</v>
      </c>
      <c r="C163" s="222" t="s">
        <v>610</v>
      </c>
      <c r="D163" s="21" t="s">
        <v>211</v>
      </c>
      <c r="E163" s="21" t="s">
        <v>19</v>
      </c>
      <c r="F163" s="280">
        <v>1</v>
      </c>
      <c r="G163" s="281" t="s">
        <v>602</v>
      </c>
      <c r="H163" s="281" t="s">
        <v>614</v>
      </c>
      <c r="I163" s="282" t="s">
        <v>617</v>
      </c>
      <c r="J163" s="283"/>
      <c r="K163" s="283"/>
      <c r="L163" s="283"/>
      <c r="M163" s="283"/>
      <c r="N163" s="283"/>
      <c r="O163" s="283"/>
      <c r="P163" s="283"/>
      <c r="Q163" s="283"/>
      <c r="R163" s="283"/>
      <c r="S163" s="283"/>
      <c r="T163" s="284">
        <f>SUM(Table1[[#This Row],[B]:[Blank]])</f>
        <v>0</v>
      </c>
      <c r="U163" s="285">
        <v>32.369</v>
      </c>
      <c r="V163" s="118">
        <f t="shared" si="6"/>
        <v>0</v>
      </c>
      <c r="W163" s="121"/>
      <c r="X163" s="111">
        <f>Table1[[#This Row],[Coil Size]]*Table1[[#This Row],[D10]]/1000*VLOOKUP(Table1[[#This Row],[Navision Code]],'TABULAR PRICE LIST'!A:L,11,FALSE)</f>
        <v>0</v>
      </c>
      <c r="Y163" s="111">
        <f>IFERROR(Table1[[#This Row],[Coil Size]]*Table1[[#This Row],[D10]]/1000*VLOOKUP(Table1[[#This Row],[Navision Code]],'TABULAR PRICE LIST'!A:L,10,FALSE),0)</f>
        <v>0</v>
      </c>
      <c r="Z163" s="127">
        <f>VLOOKUP(C163,'TABULAR PRICE LIST'!$A:$L,12,FALSE)</f>
        <v>1048</v>
      </c>
      <c r="AA163" s="121">
        <f>Table1[[#This Row],[Coil Size]]*Table1[[#This Row],[D10]]/1000</f>
        <v>0</v>
      </c>
      <c r="AB163" s="121">
        <f>Table1[[#This Row],[Weight/KYD]]*Table1[[#This Row],[D10]]</f>
        <v>0</v>
      </c>
      <c r="AC163" s="177"/>
      <c r="AD163" s="220"/>
    </row>
    <row r="164" spans="1:30" ht="18.5" x14ac:dyDescent="0.45">
      <c r="A164" s="189" t="s">
        <v>34</v>
      </c>
      <c r="B164" s="18">
        <f t="shared" si="7"/>
        <v>149</v>
      </c>
      <c r="C164" s="222" t="s">
        <v>611</v>
      </c>
      <c r="D164" s="21" t="s">
        <v>211</v>
      </c>
      <c r="E164" s="21" t="s">
        <v>19</v>
      </c>
      <c r="F164" s="280">
        <v>1</v>
      </c>
      <c r="G164" s="281" t="s">
        <v>602</v>
      </c>
      <c r="H164" s="281" t="s">
        <v>615</v>
      </c>
      <c r="I164" s="282" t="s">
        <v>617</v>
      </c>
      <c r="J164" s="283"/>
      <c r="K164" s="283"/>
      <c r="L164" s="283"/>
      <c r="M164" s="283"/>
      <c r="N164" s="283"/>
      <c r="O164" s="283"/>
      <c r="P164" s="283"/>
      <c r="Q164" s="283"/>
      <c r="R164" s="283"/>
      <c r="S164" s="283"/>
      <c r="T164" s="284">
        <f>SUM(Table1[[#This Row],[B]:[Blank]])</f>
        <v>0</v>
      </c>
      <c r="U164" s="285">
        <v>47.451999999999998</v>
      </c>
      <c r="V164" s="118">
        <f t="shared" si="6"/>
        <v>0</v>
      </c>
      <c r="W164" s="121"/>
      <c r="X164" s="111">
        <f>Table1[[#This Row],[Coil Size]]*Table1[[#This Row],[D10]]/1000*VLOOKUP(Table1[[#This Row],[Navision Code]],'TABULAR PRICE LIST'!A:L,11,FALSE)</f>
        <v>0</v>
      </c>
      <c r="Y164" s="111">
        <f>IFERROR(Table1[[#This Row],[Coil Size]]*Table1[[#This Row],[D10]]/1000*VLOOKUP(Table1[[#This Row],[Navision Code]],'TABULAR PRICE LIST'!A:L,10,FALSE),0)</f>
        <v>0</v>
      </c>
      <c r="Z164" s="127">
        <f>VLOOKUP(C164,'TABULAR PRICE LIST'!$A:$L,12,FALSE)</f>
        <v>1401</v>
      </c>
      <c r="AA164" s="121">
        <f>Table1[[#This Row],[Coil Size]]*Table1[[#This Row],[D10]]/1000</f>
        <v>0</v>
      </c>
      <c r="AB164" s="121">
        <f>Table1[[#This Row],[Weight/KYD]]*Table1[[#This Row],[D10]]</f>
        <v>0</v>
      </c>
      <c r="AC164" s="177"/>
      <c r="AD164" s="220"/>
    </row>
    <row r="165" spans="1:30" ht="18.5" x14ac:dyDescent="0.45">
      <c r="A165" s="189" t="s">
        <v>34</v>
      </c>
      <c r="B165" s="18">
        <f t="shared" si="7"/>
        <v>150</v>
      </c>
      <c r="C165" s="222" t="s">
        <v>612</v>
      </c>
      <c r="D165" s="21" t="s">
        <v>211</v>
      </c>
      <c r="E165" s="21" t="s">
        <v>19</v>
      </c>
      <c r="F165" s="280">
        <v>1</v>
      </c>
      <c r="G165" s="281" t="s">
        <v>602</v>
      </c>
      <c r="H165" s="281" t="s">
        <v>616</v>
      </c>
      <c r="I165" s="282" t="s">
        <v>617</v>
      </c>
      <c r="J165" s="283"/>
      <c r="K165" s="283"/>
      <c r="L165" s="283"/>
      <c r="M165" s="283"/>
      <c r="N165" s="283"/>
      <c r="O165" s="283"/>
      <c r="P165" s="283"/>
      <c r="Q165" s="283"/>
      <c r="R165" s="283"/>
      <c r="S165" s="283"/>
      <c r="T165" s="284">
        <f>SUM(Table1[[#This Row],[B]:[Blank]])</f>
        <v>0</v>
      </c>
      <c r="U165" s="285">
        <v>46.85</v>
      </c>
      <c r="V165" s="118">
        <f t="shared" ref="V165" si="8">U165*T165</f>
        <v>0</v>
      </c>
      <c r="W165" s="121"/>
      <c r="X165" s="111">
        <f>Table1[[#This Row],[Coil Size]]*Table1[[#This Row],[D10]]/1000*VLOOKUP(Table1[[#This Row],[Navision Code]],'TABULAR PRICE LIST'!A:L,11,FALSE)</f>
        <v>0</v>
      </c>
      <c r="Y165" s="111">
        <f>IFERROR(Table1[[#This Row],[Coil Size]]*Table1[[#This Row],[D10]]/1000*VLOOKUP(Table1[[#This Row],[Navision Code]],'TABULAR PRICE LIST'!A:L,10,FALSE),0)</f>
        <v>0</v>
      </c>
      <c r="Z165" s="127">
        <f>VLOOKUP(C165,'TABULAR PRICE LIST'!$A:$L,12,FALSE)</f>
        <v>1401</v>
      </c>
      <c r="AA165" s="121">
        <f>Table1[[#This Row],[Coil Size]]*Table1[[#This Row],[D10]]/1000</f>
        <v>0</v>
      </c>
      <c r="AB165" s="121">
        <f>Table1[[#This Row],[Weight/KYD]]*Table1[[#This Row],[D10]]</f>
        <v>0</v>
      </c>
      <c r="AC165" s="177"/>
      <c r="AD165" s="220"/>
    </row>
    <row r="166" spans="1:30" ht="18.5" x14ac:dyDescent="0.45">
      <c r="A166" s="189" t="s">
        <v>34</v>
      </c>
      <c r="B166" s="18">
        <f t="shared" si="7"/>
        <v>151</v>
      </c>
      <c r="C166" s="222" t="s">
        <v>592</v>
      </c>
      <c r="D166" s="21" t="s">
        <v>211</v>
      </c>
      <c r="E166" s="21" t="s">
        <v>19</v>
      </c>
      <c r="F166" s="21">
        <v>450</v>
      </c>
      <c r="G166" s="223" t="s">
        <v>602</v>
      </c>
      <c r="H166" s="223" t="s">
        <v>598</v>
      </c>
      <c r="I166" s="20"/>
      <c r="J166" s="20"/>
      <c r="K166" s="233"/>
      <c r="L166" s="233"/>
      <c r="M166" s="233"/>
      <c r="N166" s="233"/>
      <c r="O166" s="233"/>
      <c r="P166" s="233"/>
      <c r="Q166" s="233"/>
      <c r="R166" s="233"/>
      <c r="S166" s="193"/>
      <c r="T166" s="226">
        <f>SUM(Table1[[#This Row],[B]:[Blank]])</f>
        <v>0</v>
      </c>
      <c r="U166" s="227">
        <v>5.5E-2</v>
      </c>
      <c r="V166" s="228">
        <f t="shared" ref="V166" si="9">U166*T166</f>
        <v>0</v>
      </c>
      <c r="W166" s="229">
        <v>54.96</v>
      </c>
      <c r="X166" s="111">
        <f>Table1[[#This Row],[Coil Size]]*Table1[[#This Row],[D10]]/1000*VLOOKUP(Table1[[#This Row],[Navision Code]],'TABULAR PRICE LIST'!A:L,11,FALSE)</f>
        <v>0</v>
      </c>
      <c r="Y166" s="111">
        <f>IFERROR(Table1[[#This Row],[Coil Size]]*Table1[[#This Row],[D10]]/1000*VLOOKUP(Table1[[#This Row],[Navision Code]],'TABULAR PRICE LIST'!A:L,10,FALSE),0)</f>
        <v>0</v>
      </c>
      <c r="Z166" s="127">
        <f>VLOOKUP(C166,'TABULAR PRICE LIST'!$A:$L,12,FALSE)</f>
        <v>1048</v>
      </c>
      <c r="AA166" s="229">
        <f>Table1[[#This Row],[Coil Size]]*Table1[[#This Row],[D10]]/1000</f>
        <v>0</v>
      </c>
      <c r="AB166" s="229">
        <f>Table1[[#This Row],[Weight/KYD]]*Table1[[#This Row],[D10]]</f>
        <v>0</v>
      </c>
      <c r="AC166" s="177"/>
      <c r="AD166" s="220"/>
    </row>
    <row r="167" spans="1:30" ht="18.5" x14ac:dyDescent="0.45">
      <c r="A167" s="189" t="s">
        <v>34</v>
      </c>
      <c r="B167" s="18">
        <f t="shared" si="7"/>
        <v>152</v>
      </c>
      <c r="C167" s="222" t="s">
        <v>593</v>
      </c>
      <c r="D167" s="21" t="s">
        <v>211</v>
      </c>
      <c r="E167" s="21" t="s">
        <v>19</v>
      </c>
      <c r="F167" s="21">
        <v>450</v>
      </c>
      <c r="G167" s="223" t="s">
        <v>602</v>
      </c>
      <c r="H167" s="223" t="s">
        <v>599</v>
      </c>
      <c r="I167" s="239"/>
      <c r="J167" s="268"/>
      <c r="K167" s="268"/>
      <c r="L167" s="268"/>
      <c r="M167" s="268"/>
      <c r="N167" s="268"/>
      <c r="O167" s="233"/>
      <c r="P167" s="268"/>
      <c r="Q167" s="268"/>
      <c r="R167" s="268"/>
      <c r="S167" s="193"/>
      <c r="T167" s="226">
        <f>SUM(Table1[[#This Row],[B]:[Blank]])</f>
        <v>0</v>
      </c>
      <c r="U167" s="227">
        <v>5.5E-2</v>
      </c>
      <c r="V167" s="228">
        <f t="shared" ref="V167:V172" si="10">U167*T167</f>
        <v>0</v>
      </c>
      <c r="W167" s="229">
        <v>54.96</v>
      </c>
      <c r="X167" s="111">
        <f>Table1[[#This Row],[Coil Size]]*Table1[[#This Row],[D10]]/1000*VLOOKUP(Table1[[#This Row],[Navision Code]],'TABULAR PRICE LIST'!A:L,11,FALSE)</f>
        <v>0</v>
      </c>
      <c r="Y167" s="111">
        <f>IFERROR(Table1[[#This Row],[Coil Size]]*Table1[[#This Row],[D10]]/1000*VLOOKUP(Table1[[#This Row],[Navision Code]],'TABULAR PRICE LIST'!A:L,10,FALSE),0)</f>
        <v>0</v>
      </c>
      <c r="Z167" s="127">
        <f>VLOOKUP(C167,'TABULAR PRICE LIST'!$A:$L,12,FALSE)</f>
        <v>1048</v>
      </c>
      <c r="AA167" s="229">
        <f>Table1[[#This Row],[Coil Size]]*Table1[[#This Row],[D10]]/1000</f>
        <v>0</v>
      </c>
      <c r="AB167" s="229">
        <f>Table1[[#This Row],[Weight/KYD]]*Table1[[#This Row],[D10]]</f>
        <v>0</v>
      </c>
      <c r="AC167" s="177"/>
      <c r="AD167" s="220"/>
    </row>
    <row r="168" spans="1:30" ht="18.5" x14ac:dyDescent="0.45">
      <c r="A168" s="189" t="s">
        <v>34</v>
      </c>
      <c r="B168" s="18">
        <f t="shared" si="7"/>
        <v>153</v>
      </c>
      <c r="C168" s="222" t="s">
        <v>594</v>
      </c>
      <c r="D168" s="21" t="s">
        <v>211</v>
      </c>
      <c r="E168" s="21" t="s">
        <v>19</v>
      </c>
      <c r="F168" s="21">
        <v>340</v>
      </c>
      <c r="G168" s="223" t="s">
        <v>602</v>
      </c>
      <c r="H168" s="223" t="s">
        <v>600</v>
      </c>
      <c r="I168" s="224"/>
      <c r="J168" s="225"/>
      <c r="K168" s="225"/>
      <c r="L168" s="225"/>
      <c r="M168" s="225"/>
      <c r="N168" s="233"/>
      <c r="O168" s="225"/>
      <c r="P168" s="225"/>
      <c r="Q168" s="225"/>
      <c r="R168" s="225"/>
      <c r="S168" s="193"/>
      <c r="T168" s="226">
        <f>SUM(Table1[[#This Row],[B]:[Blank]])</f>
        <v>0</v>
      </c>
      <c r="U168" s="227">
        <v>7.4999999999999997E-2</v>
      </c>
      <c r="V168" s="228">
        <f t="shared" si="10"/>
        <v>0</v>
      </c>
      <c r="W168" s="229">
        <v>74.61</v>
      </c>
      <c r="X168" s="111">
        <f>Table1[[#This Row],[Coil Size]]*Table1[[#This Row],[D10]]/1000*VLOOKUP(Table1[[#This Row],[Navision Code]],'TABULAR PRICE LIST'!A:L,11,FALSE)</f>
        <v>0</v>
      </c>
      <c r="Y168" s="111">
        <f>IFERROR(Table1[[#This Row],[Coil Size]]*Table1[[#This Row],[D10]]/1000*VLOOKUP(Table1[[#This Row],[Navision Code]],'TABULAR PRICE LIST'!A:L,10,FALSE),0)</f>
        <v>0</v>
      </c>
      <c r="Z168" s="127">
        <f>VLOOKUP(C168,'TABULAR PRICE LIST'!$A:$L,12,FALSE)</f>
        <v>1401</v>
      </c>
      <c r="AA168" s="229">
        <f>Table1[[#This Row],[Coil Size]]*Table1[[#This Row],[D10]]/1000</f>
        <v>0</v>
      </c>
      <c r="AB168" s="229">
        <f>Table1[[#This Row],[Weight/KYD]]*Table1[[#This Row],[D10]]</f>
        <v>0</v>
      </c>
      <c r="AC168" s="177"/>
      <c r="AD168" s="220"/>
    </row>
    <row r="169" spans="1:30" ht="18.5" x14ac:dyDescent="0.45">
      <c r="A169" s="189" t="s">
        <v>34</v>
      </c>
      <c r="B169" s="18">
        <f t="shared" si="7"/>
        <v>154</v>
      </c>
      <c r="C169" s="222" t="s">
        <v>595</v>
      </c>
      <c r="D169" s="21" t="s">
        <v>211</v>
      </c>
      <c r="E169" s="21" t="s">
        <v>19</v>
      </c>
      <c r="F169" s="21">
        <v>340</v>
      </c>
      <c r="G169" s="223" t="s">
        <v>602</v>
      </c>
      <c r="H169" s="223" t="s">
        <v>601</v>
      </c>
      <c r="I169" s="224"/>
      <c r="J169" s="225"/>
      <c r="K169" s="225"/>
      <c r="L169" s="225"/>
      <c r="M169" s="225"/>
      <c r="N169" s="225"/>
      <c r="O169" s="233"/>
      <c r="P169" s="225"/>
      <c r="Q169" s="225"/>
      <c r="R169" s="225"/>
      <c r="S169" s="193"/>
      <c r="T169" s="226">
        <f>SUM(Table1[[#This Row],[B]:[Blank]])</f>
        <v>0</v>
      </c>
      <c r="U169" s="227">
        <v>7.4999999999999997E-2</v>
      </c>
      <c r="V169" s="228">
        <f t="shared" si="10"/>
        <v>0</v>
      </c>
      <c r="W169" s="229">
        <v>74.61</v>
      </c>
      <c r="X169" s="111">
        <f>Table1[[#This Row],[Coil Size]]*Table1[[#This Row],[D10]]/1000*VLOOKUP(Table1[[#This Row],[Navision Code]],'TABULAR PRICE LIST'!A:L,11,FALSE)</f>
        <v>0</v>
      </c>
      <c r="Y169" s="111">
        <f>IFERROR(Table1[[#This Row],[Coil Size]]*Table1[[#This Row],[D10]]/1000*VLOOKUP(Table1[[#This Row],[Navision Code]],'TABULAR PRICE LIST'!A:L,10,FALSE),0)</f>
        <v>0</v>
      </c>
      <c r="Z169" s="127">
        <f>VLOOKUP(C169,'TABULAR PRICE LIST'!$A:$L,12,FALSE)</f>
        <v>1401</v>
      </c>
      <c r="AA169" s="229">
        <f>Table1[[#This Row],[Coil Size]]*Table1[[#This Row],[D10]]/1000</f>
        <v>0</v>
      </c>
      <c r="AB169" s="229">
        <f>Table1[[#This Row],[Weight/KYD]]*Table1[[#This Row],[D10]]</f>
        <v>0</v>
      </c>
      <c r="AC169" s="177"/>
      <c r="AD169" s="220"/>
    </row>
    <row r="170" spans="1:30" ht="18.5" x14ac:dyDescent="0.45">
      <c r="A170" s="189" t="s">
        <v>34</v>
      </c>
      <c r="B170" s="18">
        <f t="shared" si="7"/>
        <v>155</v>
      </c>
      <c r="C170" s="21" t="s">
        <v>828</v>
      </c>
      <c r="D170" s="21" t="s">
        <v>211</v>
      </c>
      <c r="E170" s="21" t="s">
        <v>19</v>
      </c>
      <c r="F170" s="21">
        <v>200</v>
      </c>
      <c r="G170" s="33" t="s">
        <v>129</v>
      </c>
      <c r="H170" s="22" t="s">
        <v>829</v>
      </c>
      <c r="I170" s="20"/>
      <c r="J170" s="193"/>
      <c r="K170" s="193"/>
      <c r="L170" s="193"/>
      <c r="M170" s="193"/>
      <c r="N170" s="193"/>
      <c r="O170" s="193"/>
      <c r="P170" s="193"/>
      <c r="Q170" s="193"/>
      <c r="R170" s="193"/>
      <c r="S170" s="193"/>
      <c r="T170" s="105">
        <f>SUM(Table1[[#This Row],[B]:[Blank]])</f>
        <v>0</v>
      </c>
      <c r="U170" s="116">
        <v>0.22900000000000001</v>
      </c>
      <c r="V170" s="118">
        <f t="shared" si="10"/>
        <v>0</v>
      </c>
      <c r="W170" s="121">
        <v>40.53</v>
      </c>
      <c r="X170" s="111"/>
      <c r="Y170" s="121">
        <f>IFERROR(Table1[[#This Row],[Coil Size]]*Table1[[#This Row],[D10]]/1000*VLOOKUP(Table1[[#This Row],[Navision Code]],'TABULAR PRICE LIST'!A:L,10,FALSE),0)</f>
        <v>0</v>
      </c>
      <c r="Z170" s="127">
        <f>'TABULAR PRICE LIST'!L156</f>
        <v>1205</v>
      </c>
      <c r="AA170" s="121">
        <f>Table1[[#This Row],[Coil Size]]*Table1[[#This Row],[D10]]/1000</f>
        <v>0</v>
      </c>
      <c r="AB170" s="121">
        <f>Table1[[#This Row],[Weight/KYD]]*Table1[[#This Row],[D10]]</f>
        <v>0</v>
      </c>
      <c r="AC170" s="177"/>
      <c r="AD170" s="220"/>
    </row>
    <row r="171" spans="1:30" ht="18.5" x14ac:dyDescent="0.45">
      <c r="A171" s="189" t="s">
        <v>34</v>
      </c>
      <c r="B171" s="18">
        <f t="shared" si="7"/>
        <v>156</v>
      </c>
      <c r="C171" s="21" t="s">
        <v>830</v>
      </c>
      <c r="D171" s="21" t="s">
        <v>211</v>
      </c>
      <c r="E171" s="21" t="s">
        <v>19</v>
      </c>
      <c r="F171" s="21">
        <v>300</v>
      </c>
      <c r="G171" s="33" t="s">
        <v>129</v>
      </c>
      <c r="H171" s="273" t="s">
        <v>831</v>
      </c>
      <c r="I171" s="274"/>
      <c r="J171" s="275"/>
      <c r="K171" s="275"/>
      <c r="L171" s="275"/>
      <c r="M171" s="275"/>
      <c r="N171" s="275"/>
      <c r="O171" s="275"/>
      <c r="P171" s="275"/>
      <c r="Q171" s="275"/>
      <c r="R171" s="275"/>
      <c r="S171" s="275"/>
      <c r="T171" s="105">
        <f>SUM(Table1[[#This Row],[B]:[Blank]])</f>
        <v>0</v>
      </c>
      <c r="U171" s="116">
        <v>0.22900000000000001</v>
      </c>
      <c r="V171" s="278">
        <f t="shared" si="10"/>
        <v>0</v>
      </c>
      <c r="W171" s="279">
        <v>26.05</v>
      </c>
      <c r="X171" s="111"/>
      <c r="Y171" s="279">
        <f>IFERROR(Table1[[#This Row],[Coil Size]]*Table1[[#This Row],[D10]]/1000*VLOOKUP(Table1[[#This Row],[Navision Code]],'TABULAR PRICE LIST'!A:L,10,FALSE),0)</f>
        <v>0</v>
      </c>
      <c r="Z171" s="127">
        <f>'TABULAR PRICE LIST'!L157</f>
        <v>758</v>
      </c>
      <c r="AA171" s="279">
        <f>Table1[[#This Row],[Coil Size]]*Table1[[#This Row],[D10]]/1000</f>
        <v>0</v>
      </c>
      <c r="AB171" s="279">
        <f>Table1[[#This Row],[Weight/KYD]]*Table1[[#This Row],[D10]]</f>
        <v>0</v>
      </c>
      <c r="AC171" s="177"/>
      <c r="AD171" s="220"/>
    </row>
    <row r="172" spans="1:30" ht="18.5" x14ac:dyDescent="0.45">
      <c r="A172" s="189" t="s">
        <v>34</v>
      </c>
      <c r="B172" s="18">
        <f t="shared" si="7"/>
        <v>157</v>
      </c>
      <c r="C172" s="21" t="s">
        <v>848</v>
      </c>
      <c r="D172" s="21" t="s">
        <v>211</v>
      </c>
      <c r="E172" s="21" t="s">
        <v>19</v>
      </c>
      <c r="F172" s="21">
        <v>3000</v>
      </c>
      <c r="G172" s="223" t="s">
        <v>602</v>
      </c>
      <c r="H172" s="223" t="s">
        <v>845</v>
      </c>
      <c r="I172" s="20"/>
      <c r="J172" s="288"/>
      <c r="K172" s="275"/>
      <c r="L172" s="275"/>
      <c r="M172" s="275"/>
      <c r="N172" s="233"/>
      <c r="O172" s="275"/>
      <c r="P172" s="275"/>
      <c r="Q172" s="275"/>
      <c r="R172" s="275"/>
      <c r="S172" s="275"/>
      <c r="T172" s="105">
        <f>SUM(Table1[[#This Row],[B]:[Blank]])</f>
        <v>0</v>
      </c>
      <c r="U172" s="116">
        <v>0.22900000000000001</v>
      </c>
      <c r="V172" s="278">
        <f t="shared" si="10"/>
        <v>0</v>
      </c>
      <c r="W172" s="279">
        <v>16.48</v>
      </c>
      <c r="X172" s="111"/>
      <c r="Y172" s="279">
        <f>IFERROR(Table1[[#This Row],[Coil Size]]*Table1[[#This Row],[D10]]/1000*VLOOKUP(Table1[[#This Row],[Navision Code]],'TABULAR PRICE LIST'!A:L,10,FALSE),0)</f>
        <v>0</v>
      </c>
      <c r="Z172" s="127">
        <f>'TABULAR PRICE LIST'!L158</f>
        <v>660</v>
      </c>
      <c r="AA172" s="279">
        <f>Table1[[#This Row],[Coil Size]]*Table1[[#This Row],[D10]]/1000</f>
        <v>0</v>
      </c>
      <c r="AB172" s="279">
        <f>Table1[[#This Row],[Weight/KYD]]*Table1[[#This Row],[D10]]</f>
        <v>0</v>
      </c>
      <c r="AC172" s="177"/>
      <c r="AD172" s="220"/>
    </row>
    <row r="173" spans="1:30" ht="18.5" x14ac:dyDescent="0.45">
      <c r="A173" s="189" t="s">
        <v>34</v>
      </c>
      <c r="B173" s="18">
        <f t="shared" si="7"/>
        <v>158</v>
      </c>
      <c r="C173" s="21" t="s">
        <v>847</v>
      </c>
      <c r="D173" s="21" t="s">
        <v>211</v>
      </c>
      <c r="E173" s="21" t="s">
        <v>19</v>
      </c>
      <c r="F173" s="21">
        <v>3000</v>
      </c>
      <c r="G173" s="223" t="s">
        <v>602</v>
      </c>
      <c r="H173" s="273" t="s">
        <v>846</v>
      </c>
      <c r="I173" s="20"/>
      <c r="J173" s="275"/>
      <c r="K173" s="193"/>
      <c r="L173" s="193"/>
      <c r="M173" s="193"/>
      <c r="N173" s="193"/>
      <c r="O173" s="233"/>
      <c r="P173" s="193"/>
      <c r="Q173" s="193"/>
      <c r="R173" s="193"/>
      <c r="S173" s="193"/>
      <c r="T173" s="105">
        <f>SUM(Table1[[#This Row],[B]:[Blank]])</f>
        <v>0</v>
      </c>
      <c r="U173" s="116">
        <v>0.22900000000000001</v>
      </c>
      <c r="V173" s="118">
        <f>U173*T173</f>
        <v>0</v>
      </c>
      <c r="W173" s="121">
        <v>16.48</v>
      </c>
      <c r="X173" s="111"/>
      <c r="Y173" s="121">
        <f>IFERROR(Table1[[#This Row],[Coil Size]]*Table1[[#This Row],[D10]]/1000*VLOOKUP(Table1[[#This Row],[Navision Code]],'TABULAR PRICE LIST'!A:L,10,FALSE),0)</f>
        <v>0</v>
      </c>
      <c r="Z173" s="127">
        <f>'TABULAR PRICE LIST'!L159</f>
        <v>626</v>
      </c>
      <c r="AA173" s="121">
        <f>Table1[[#This Row],[Coil Size]]*Table1[[#This Row],[D10]]/1000</f>
        <v>0</v>
      </c>
      <c r="AB173" s="121">
        <f>Table1[[#This Row],[Weight/KYD]]*Table1[[#This Row],[D10]]</f>
        <v>0</v>
      </c>
      <c r="AC173" s="177"/>
      <c r="AD173" s="220"/>
    </row>
    <row r="174" spans="1:30" ht="18.5" x14ac:dyDescent="0.45">
      <c r="A174" s="189" t="s">
        <v>34</v>
      </c>
      <c r="B174" s="18">
        <f t="shared" si="7"/>
        <v>159</v>
      </c>
      <c r="C174" s="316">
        <v>2090040001</v>
      </c>
      <c r="D174" s="316"/>
      <c r="E174" s="316" t="s">
        <v>863</v>
      </c>
      <c r="F174" s="316">
        <v>1000</v>
      </c>
      <c r="G174" s="22" t="s">
        <v>602</v>
      </c>
      <c r="H174" s="317" t="s">
        <v>862</v>
      </c>
      <c r="I174" s="318"/>
      <c r="J174" s="319"/>
      <c r="K174" s="319"/>
      <c r="L174" s="319"/>
      <c r="M174" s="319"/>
      <c r="N174" s="319"/>
      <c r="O174" s="319"/>
      <c r="P174" s="319"/>
      <c r="Q174" s="319"/>
      <c r="R174" s="319"/>
      <c r="S174" s="275"/>
      <c r="T174" s="320">
        <f>SUM(Table1[[#This Row],[B]:[Blank]])</f>
        <v>0</v>
      </c>
      <c r="U174" s="116">
        <v>0</v>
      </c>
      <c r="V174" s="321">
        <f>U174*T174</f>
        <v>0</v>
      </c>
      <c r="W174" s="322"/>
      <c r="X174" s="322">
        <f>Table1[[#This Row],[Coil Size]]*Table1[[#This Row],[D10]]/1000*VLOOKUP(Table1[[#This Row],[Navision Code]],'TABULAR PRICE LIST'!A:L,11,FALSE)</f>
        <v>0</v>
      </c>
      <c r="Y174" s="322">
        <f>IFERROR(Table1[[#This Row],[Coil Size]]*Table1[[#This Row],[D10]]/1000*VLOOKUP(Table1[[#This Row],[Navision Code]],'TABULAR PRICE LIST'!A:L,10,FALSE),0)</f>
        <v>0</v>
      </c>
      <c r="Z174" s="322">
        <f>VLOOKUP(C174,'TABULAR PRICE LIST'!$A:$L,12,FALSE)</f>
        <v>50</v>
      </c>
      <c r="AA174" s="322">
        <f>Table1[[#This Row],[Coil Size]]*Table1[[#This Row],[D10]]/1000</f>
        <v>0</v>
      </c>
      <c r="AB174" s="322">
        <f>Table1[[#This Row],[Weight/KYD]]*Table1[[#This Row],[D10]]</f>
        <v>0</v>
      </c>
      <c r="AC174" s="177"/>
      <c r="AD174" s="220"/>
    </row>
    <row r="175" spans="1:30" ht="18.5" x14ac:dyDescent="0.45">
      <c r="A175" s="189" t="s">
        <v>34</v>
      </c>
      <c r="B175" s="18">
        <f t="shared" si="7"/>
        <v>160</v>
      </c>
      <c r="C175" s="316">
        <v>7800000103</v>
      </c>
      <c r="D175" s="316"/>
      <c r="E175" s="323" t="s">
        <v>863</v>
      </c>
      <c r="F175" s="323">
        <v>1000</v>
      </c>
      <c r="G175" s="223" t="s">
        <v>602</v>
      </c>
      <c r="H175" s="317" t="s">
        <v>861</v>
      </c>
      <c r="I175" s="20"/>
      <c r="J175" s="288"/>
      <c r="K175" s="275"/>
      <c r="L175" s="275"/>
      <c r="M175" s="275"/>
      <c r="N175" s="275"/>
      <c r="O175" s="275"/>
      <c r="P175" s="275"/>
      <c r="Q175" s="275"/>
      <c r="R175" s="275"/>
      <c r="S175" s="275"/>
      <c r="T175" s="105">
        <f>SUM(Table1[[#This Row],[B]:[Blank]])</f>
        <v>0</v>
      </c>
      <c r="U175" s="116">
        <v>0</v>
      </c>
      <c r="V175" s="321">
        <f>U175*T175</f>
        <v>0</v>
      </c>
      <c r="W175" s="322">
        <v>0</v>
      </c>
      <c r="X175" s="322">
        <v>0</v>
      </c>
      <c r="Y175" s="322">
        <f>IFERROR(Table1[[#This Row],[Coil Size]]*Table1[[#This Row],[D10]]/1000*VLOOKUP(Table1[[#This Row],[Navision Code]],'TABULAR PRICE LIST'!A:L,10,FALSE),0)</f>
        <v>0</v>
      </c>
      <c r="Z175" s="322">
        <v>300</v>
      </c>
      <c r="AA175" s="322">
        <f>Table1[[#This Row],[Coil Size]]*Table1[[#This Row],[D10]]/1000</f>
        <v>0</v>
      </c>
      <c r="AB175" s="322">
        <f>Table1[[#This Row],[Weight/KYD]]*Table1[[#This Row],[D10]]</f>
        <v>0</v>
      </c>
      <c r="AC175" s="177"/>
      <c r="AD175" s="220"/>
    </row>
    <row r="176" spans="1:30" ht="18.5" x14ac:dyDescent="0.45">
      <c r="B176" s="18"/>
      <c r="C176" s="21"/>
      <c r="D176" s="21"/>
      <c r="E176" s="21"/>
      <c r="F176" s="21"/>
      <c r="G176" s="22"/>
      <c r="H176" s="22"/>
      <c r="I176" s="20"/>
      <c r="J176" s="193"/>
      <c r="K176" s="193"/>
      <c r="L176" s="193"/>
      <c r="M176" s="193"/>
      <c r="N176" s="193"/>
      <c r="O176" s="193"/>
      <c r="P176" s="193"/>
      <c r="Q176" s="193"/>
      <c r="R176" s="193"/>
      <c r="S176" s="193"/>
      <c r="T176" s="105"/>
      <c r="U176" s="116"/>
      <c r="V176" s="118"/>
      <c r="W176" s="121"/>
      <c r="X176" s="111"/>
      <c r="Y176" s="121"/>
      <c r="Z176" s="121"/>
      <c r="AA176" s="121"/>
      <c r="AB176" s="121"/>
      <c r="AD176" s="205"/>
    </row>
    <row r="177" spans="3:28" ht="14" x14ac:dyDescent="0.3">
      <c r="AB177" s="174"/>
    </row>
    <row r="178" spans="3:28" ht="15.5" x14ac:dyDescent="0.35">
      <c r="C178" s="270" t="s">
        <v>827</v>
      </c>
      <c r="AB178" s="174"/>
    </row>
    <row r="179" spans="3:28" ht="14" x14ac:dyDescent="0.3">
      <c r="AB179" s="174"/>
    </row>
    <row r="180" spans="3:28" ht="14" x14ac:dyDescent="0.3">
      <c r="AB180" s="174"/>
    </row>
    <row r="181" spans="3:28" ht="14" x14ac:dyDescent="0.3">
      <c r="AB181" s="174"/>
    </row>
    <row r="182" spans="3:28" ht="14" x14ac:dyDescent="0.3">
      <c r="AB182" s="174"/>
    </row>
    <row r="183" spans="3:28" ht="14" x14ac:dyDescent="0.3">
      <c r="AB183" s="174"/>
    </row>
    <row r="184" spans="3:28" ht="14" x14ac:dyDescent="0.3">
      <c r="AB184" s="174"/>
    </row>
    <row r="185" spans="3:28" ht="14" x14ac:dyDescent="0.3">
      <c r="AB185" s="174"/>
    </row>
    <row r="186" spans="3:28" ht="14" x14ac:dyDescent="0.3">
      <c r="AB186" s="174"/>
    </row>
    <row r="187" spans="3:28" ht="14" x14ac:dyDescent="0.3">
      <c r="AB187" s="174"/>
    </row>
    <row r="188" spans="3:28" ht="14" x14ac:dyDescent="0.3">
      <c r="AB188" s="174"/>
    </row>
    <row r="189" spans="3:28" ht="14" x14ac:dyDescent="0.3">
      <c r="AB189" s="174"/>
    </row>
    <row r="190" spans="3:28" ht="14" x14ac:dyDescent="0.3">
      <c r="AB190" s="174"/>
    </row>
    <row r="191" spans="3:28" ht="14" x14ac:dyDescent="0.3">
      <c r="AB191" s="174"/>
    </row>
    <row r="192" spans="3:28" ht="14" x14ac:dyDescent="0.3">
      <c r="AB192" s="174"/>
    </row>
    <row r="193" spans="28:28" ht="14" x14ac:dyDescent="0.3">
      <c r="AB193" s="174"/>
    </row>
    <row r="194" spans="28:28" ht="14" x14ac:dyDescent="0.3">
      <c r="AB194" s="174"/>
    </row>
    <row r="195" spans="28:28" ht="14" x14ac:dyDescent="0.3">
      <c r="AB195" s="174"/>
    </row>
    <row r="196" spans="28:28" ht="14" x14ac:dyDescent="0.3">
      <c r="AB196" s="174"/>
    </row>
    <row r="197" spans="28:28" ht="14" x14ac:dyDescent="0.3">
      <c r="AB197" s="174"/>
    </row>
    <row r="198" spans="28:28" ht="14" x14ac:dyDescent="0.3">
      <c r="AB198" s="174"/>
    </row>
    <row r="199" spans="28:28" ht="14" x14ac:dyDescent="0.3">
      <c r="AB199" s="174"/>
    </row>
    <row r="200" spans="28:28" ht="14" x14ac:dyDescent="0.3">
      <c r="AB200" s="174"/>
    </row>
    <row r="201" spans="28:28" ht="14" x14ac:dyDescent="0.3">
      <c r="AB201" s="174"/>
    </row>
    <row r="202" spans="28:28" ht="14" x14ac:dyDescent="0.3">
      <c r="AB202" s="174"/>
    </row>
    <row r="203" spans="28:28" ht="14" x14ac:dyDescent="0.3">
      <c r="AB203" s="174"/>
    </row>
    <row r="204" spans="28:28" ht="14" x14ac:dyDescent="0.3">
      <c r="AB204" s="174"/>
    </row>
    <row r="205" spans="28:28" ht="14" x14ac:dyDescent="0.3">
      <c r="AB205" s="174"/>
    </row>
    <row r="206" spans="28:28" ht="14" x14ac:dyDescent="0.3">
      <c r="AB206" s="174"/>
    </row>
  </sheetData>
  <sheetProtection selectLockedCells="1"/>
  <mergeCells count="8">
    <mergeCell ref="B2:AB2"/>
    <mergeCell ref="D6:D7"/>
    <mergeCell ref="J6:U6"/>
    <mergeCell ref="U7:U8"/>
    <mergeCell ref="E6:E7"/>
    <mergeCell ref="F6:F7"/>
    <mergeCell ref="G6:G7"/>
    <mergeCell ref="H6:H7"/>
  </mergeCells>
  <phoneticPr fontId="45" type="noConversion"/>
  <dataValidations xWindow="884" yWindow="517" count="63">
    <dataValidation type="list" allowBlank="1" showInputMessage="1" showErrorMessage="1" sqref="D10">
      <formula1>"C,T"</formula1>
    </dataValidation>
    <dataValidation type="whole" operator="equal" allowBlank="1" showInputMessage="1" showErrorMessage="1" errorTitle="MTO" error="THIS ITEM MOVED TO MTO AND WILL NOT BE AVAILABLE AS MTS" promptTitle="MTO " prompt="THIS ITEM MOVED TO MTO AND WILL NOT BE AVAILABLE AS MTS" sqref="T133">
      <formula1>1000000</formula1>
    </dataValidation>
    <dataValidation type="whole" operator="equal" allowBlank="1" showInputMessage="1" showErrorMessage="1" errorTitle="ITEM NOT VALID IN THIS COLOR" promptTitle="ITEM NOT VALID IN THIS COLOR" sqref="N164 O165 O163 N162">
      <formula1>1000000</formula1>
    </dataValidation>
    <dataValidation type="decimal" operator="equal" allowBlank="1" showInputMessage="1" showErrorMessage="1" errorTitle="X" error="X" promptTitle="X" prompt="X" sqref="J73:M73">
      <formula1>10000000000000000</formula1>
    </dataValidation>
    <dataValidation allowBlank="1" showInputMessage="1" showErrorMessage="1" errorTitle="ITEM NOT VALID IN THIS COLOR" error="ITEM NOT VALID IN THIS COLOR" promptTitle="ITEM NOT VALID IN THIS COLOR" prompt="ITEM NOT VALID IN THIS COLOR" sqref="J90:M96"/>
    <dataValidation type="whole" operator="equal" allowBlank="1" showInputMessage="1" showErrorMessage="1" errorTitle="MTO" error="MTO" promptTitle="MTO " prompt="MTO" sqref="T122">
      <formula1>1000000</formula1>
    </dataValidation>
    <dataValidation type="whole" operator="equal" allowBlank="1" showInputMessage="1" showErrorMessage="1" errorTitle="MTO" error="MTO" promptTitle="MTO" prompt="MTO" sqref="O101:S101 O105:S106 J152:S155 J101:M101 J105:M106 J158:P159 R158:R159">
      <formula1>10000000000</formula1>
    </dataValidation>
    <dataValidation type="whole" operator="equal" allowBlank="1" showInputMessage="1" showErrorMessage="1" errorTitle="MTO" error="MTO" promptTitle="MTO" prompt="MTO" sqref="J135:R140">
      <formula1>10000000000000</formula1>
    </dataValidation>
    <dataValidation type="whole" operator="equal" allowBlank="1" showInputMessage="1" showErrorMessage="1" errorTitle="MTO" error="MTO" promptTitle="MTO" prompt="MTO" sqref="S135:S140">
      <formula1>100000000000</formula1>
    </dataValidation>
    <dataValidation type="whole" operator="equal" allowBlank="1" showInputMessage="1" showErrorMessage="1" errorTitle="MTO" error="MTO" promptTitle="MTO" prompt="MTO" sqref="T135:T140">
      <formula1>100000000000000</formula1>
    </dataValidation>
    <dataValidation type="whole" operator="equal" allowBlank="1" showInputMessage="1" showErrorMessage="1" errorTitle="MTO" error="MTO" promptTitle="MTO" prompt="MTO" sqref="T124:T125">
      <formula1>10000000000000000000</formula1>
    </dataValidation>
    <dataValidation type="whole" operator="equal" allowBlank="1" showInputMessage="1" showErrorMessage="1" errorTitle="MTO" error="MTO" promptTitle="MTO" prompt="MTO" sqref="T112">
      <formula1>10000000000000000</formula1>
    </dataValidation>
    <dataValidation type="whole" operator="equal" allowBlank="1" showInputMessage="1" showErrorMessage="1" errorTitle="MTO" error="MTO" promptTitle="MTO" prompt="MTO" sqref="T87">
      <formula1>1000000000000000</formula1>
    </dataValidation>
    <dataValidation type="whole" operator="equal" allowBlank="1" showInputMessage="1" showErrorMessage="1" errorTitle="ITEM NOT VALID IN THIS COLOR" error="ITEM NOT VALID IN THIS COLOR" promptTitle="ITEM NOT VALID IN THIS COLOR" prompt="ITEM NOT VALID IN THIS COLOR" sqref="O90:S96 K161:M175 N163 N165 N167 S156 O161:O162 O164 O166 O168 J156:P157 R86 R83:S84 O170:O171 J161:J169 R156:R157 N169:N171 N173:N174">
      <formula1>1000000</formula1>
    </dataValidation>
    <dataValidation type="whole" operator="equal" allowBlank="1" showInputMessage="1" showErrorMessage="1" errorTitle="ITEM NOT VALID IN THIS COLOR" error="ITEM NOT VALID IN THIS COLOR" promptTitle="ITEM NOT VALID IN THIS COLOR" prompt="ITEM NOT VALID IN THIS COLOR" sqref="P161:Q175 R161:R171">
      <formula1>100000000</formula1>
    </dataValidation>
    <dataValidation type="whole" operator="equal" allowBlank="1" showInputMessage="1" showErrorMessage="1" errorTitle="ITEM NOT VALID IN THIS COLOR" error="ITEM NOT VALID IN THIS COLOR" promptTitle="ITEM NOT VALID IN THIS COLOR" prompt="ITEM NOT VALID IN THIS COLOR" sqref="S160:S173">
      <formula1>10000000000000</formula1>
    </dataValidation>
    <dataValidation type="whole" operator="equal" allowBlank="1" showInputMessage="1" showErrorMessage="1" errorTitle="ITEM NOT VALID IN THIS COLOR" error="ITEM NOT VALID IN THIS COLOR" promptTitle="ITEM NOT VALID IN THIS COLOR" prompt="ITEM NOT VALID IN THIS COLOR" sqref="J35:Q35 K83:P83 J33:Q33 J37:Q37 J31:Q31">
      <formula1>1000000000000</formula1>
    </dataValidation>
    <dataValidation type="whole" operator="equal" allowBlank="1" showInputMessage="1" showErrorMessage="1" errorTitle="ITEM NOT VALID IN THIS COLOR" error="ITEM NOT VALID IN THIS COLOR" promptTitle="ITEM NOT VALID IN THIS COLOR" prompt="ITEM NOT VALID IN THIS COLOR" sqref="K32:R32 K34:R34 K40:R41 K36:R36">
      <formula1>1000000000000000</formula1>
    </dataValidation>
    <dataValidation operator="equal" allowBlank="1" showInputMessage="1" showErrorMessage="1" sqref="J38:J39 S86"/>
    <dataValidation type="whole" operator="equal" allowBlank="1" showInputMessage="1" showErrorMessage="1" errorTitle="ITEM NOT VALID IN THIS COLOR" error="ITEM NOT VALID IN THIS COLOR" promptTitle="ITEM NOT VALID IN THIS COLOR" prompt="ITEM NOT VALID IN THIS COLOR" sqref="K38:R39">
      <formula1>1E+24</formula1>
    </dataValidation>
    <dataValidation type="whole" operator="equal" allowBlank="1" showInputMessage="1" showErrorMessage="1" errorTitle="ITEM NOT VALID IN THIS COLOR" error="ITEM NOT VALID IN THIS COLOR" promptTitle="ITEM NOT VALID IN THIS COLOR" prompt="ITEM NOT VALID IN THIS COLOR" sqref="J57:M62 O57:S62">
      <formula1>1E+21</formula1>
    </dataValidation>
    <dataValidation type="whole" operator="equal" allowBlank="1" showInputMessage="1" showErrorMessage="1" errorTitle="ITEM NOT VALID IN THIS COLOR" error="ITEM NOT VALID IN THIS COLOR" promptTitle="ITEM NOT VALID IN THIS COLOR" prompt="ITEM NOT VALID IN THIS COLOR" sqref="K42:S56">
      <formula1>1E+22</formula1>
    </dataValidation>
    <dataValidation type="whole" operator="equal" allowBlank="1" showInputMessage="1" showErrorMessage="1" errorTitle="ITEM NOT VALID IN THIS COLOR" error="ITEM NOT VALID IN THIS COLOR" promptTitle="ITEM NOT VALID IN THIS COLOR" prompt="ITEM NOT VALID IN THIS COLOR" sqref="J83 J86:P86 J84:P84">
      <formula1>10000000</formula1>
    </dataValidation>
    <dataValidation type="whole" operator="equal" allowBlank="1" showInputMessage="1" showErrorMessage="1" sqref="J141:M151 O119:S121 Q149 O141:S148 O151:S151 O149:P150 R149:S150">
      <formula1>1000000000000</formula1>
    </dataValidation>
    <dataValidation type="whole" operator="equal" allowBlank="1" showInputMessage="1" showErrorMessage="1" sqref="J119:M121">
      <formula1>1000000000</formula1>
    </dataValidation>
    <dataValidation type="whole" operator="equal" allowBlank="1" showInputMessage="1" showErrorMessage="1" sqref="J126:M134 O126:S134">
      <formula1>1000000</formula1>
    </dataValidation>
    <dataValidation type="whole" operator="equal" allowBlank="1" showInputMessage="1" showErrorMessage="1" errorTitle="ITEM NOT VALID IN THIS COLOR" error="ITEM NOT VALID IN THIS COLOR" promptTitle="ITEM NOT VALID IN THIS COLOR" prompt="ITEM NOT VALID IN THIS COLOR" sqref="O107:S111 J113:M118 O113:S118 J99:M100 O99:S100 O102:S104 J102:M104 J107:M111 J160:N160 P160:R160">
      <formula1>10000000000</formula1>
    </dataValidation>
    <dataValidation operator="equal" allowBlank="1" showInputMessage="1" showErrorMessage="1" errorTitle="ITEM NOT VALID IN THIS COLOR" error="ITEM NOT VALID IN THIS COLOR" promptTitle="ITEM NOT VALID IN THIS COLOR" prompt="ITEM NOT VALID IN THIS COLOR" sqref="S86"/>
    <dataValidation type="whole" operator="equal" allowBlank="1" showInputMessage="1" showErrorMessage="1" errorTitle="ITEM NOT VALID IN THIS COLOR" error="ITEM NOT VALID IN THIS COLOR" promptTitle="ITEM NOT VALID IN THIS COLOR" prompt="ITEM NOT VALID IN THIS COLOR" sqref="M63:S64 J63:K64 J70:K70 M67:S67 J67:K67 M70:S70">
      <formula1>100000000000000</formula1>
    </dataValidation>
    <dataValidation type="decimal" operator="equal" allowBlank="1" showInputMessage="1" showErrorMessage="1" errorTitle="X" error="X" promptTitle="X" prompt="X" sqref="J10:S10">
      <formula1>10000000000000000000</formula1>
    </dataValidation>
    <dataValidation type="decimal" operator="equal" allowBlank="1" showInputMessage="1" showErrorMessage="1" errorTitle="X" error="X" promptTitle="X" prompt="X" sqref="J18">
      <formula1>100000000000000000</formula1>
    </dataValidation>
    <dataValidation type="decimal" operator="equal" allowBlank="1" showInputMessage="1" showErrorMessage="1" errorTitle="X" error="X" promptTitle="X" prompt="X" sqref="P18 K22:L22">
      <formula1>1E+22</formula1>
    </dataValidation>
    <dataValidation type="decimal" operator="equal" allowBlank="1" showInputMessage="1" showErrorMessage="1" errorTitle="X" error="X" promptTitle="X" prompt="X" sqref="R18:S18 M22:O22">
      <formula1>1E+24</formula1>
    </dataValidation>
    <dataValidation type="decimal" operator="equal" allowBlank="1" showInputMessage="1" showErrorMessage="1" errorTitle="X" error="X" promptTitle="X" prompt="X" sqref="J19:P19 J87:S87">
      <formula1>1E+25</formula1>
    </dataValidation>
    <dataValidation type="decimal" operator="equal" allowBlank="1" showInputMessage="1" showErrorMessage="1" errorTitle="X" error="X" promptTitle="X" prompt="X" sqref="R19:S19 R172">
      <formula1>1E+21</formula1>
    </dataValidation>
    <dataValidation type="decimal" operator="equal" allowBlank="1" showInputMessage="1" showErrorMessage="1" errorTitle="X" error="X" promptTitle="X" prompt="X" sqref="J20 P20:S20 Q21:Q24">
      <formula1>1E+23</formula1>
    </dataValidation>
    <dataValidation type="decimal" operator="equal" allowBlank="1" showInputMessage="1" showErrorMessage="1" errorTitle="X" error="X" promptTitle="X" prompt="X" sqref="R21:S29 J21:J23 J25:J29 J172">
      <formula1>1E+27</formula1>
    </dataValidation>
    <dataValidation type="decimal" operator="equal" allowBlank="1" showInputMessage="1" showErrorMessage="1" errorTitle="X" error="X" promptTitle="X" prompt="X" sqref="P21:P29 O73:S73">
      <formula1>1E+26</formula1>
    </dataValidation>
    <dataValidation type="decimal" operator="equal" allowBlank="1" showInputMessage="1" showErrorMessage="1" errorTitle="X" error="X" promptTitle="X" prompt="X" sqref="J30:S30">
      <formula1>1E+31</formula1>
    </dataValidation>
    <dataValidation type="decimal" operator="equal" allowBlank="1" showInputMessage="1" showErrorMessage="1" errorTitle="X" error="X" promptTitle="X" prompt="X" sqref="S31:S41">
      <formula1>1E+30</formula1>
    </dataValidation>
    <dataValidation type="whole" operator="equal" allowBlank="1" showInputMessage="1" showErrorMessage="1" errorTitle="X" error="X" promptTitle="X" prompt="X" sqref="J65:S66 J68:S69 J71:S72">
      <formula1>100000000000000</formula1>
    </dataValidation>
    <dataValidation type="decimal" operator="equal" allowBlank="1" showInputMessage="1" showErrorMessage="1" errorTitle="MTO" error="MTO" promptTitle="MTO" prompt="MTO" sqref="J85:S85">
      <formula1>1E+26</formula1>
    </dataValidation>
    <dataValidation type="decimal" operator="equal" allowBlank="1" showInputMessage="1" showErrorMessage="1" errorTitle="MTO" error="MTO" promptTitle="MTO" prompt="MTO" sqref="J88:S89">
      <formula1>1E+25</formula1>
    </dataValidation>
    <dataValidation type="decimal" operator="equal" allowBlank="1" showInputMessage="1" showErrorMessage="1" errorTitle="MTO" error="MTO" promptTitle="MTO" prompt="MTO" sqref="J97:M98 O97:S98">
      <formula1>10000000000</formula1>
    </dataValidation>
    <dataValidation type="whole" operator="equal" allowBlank="1" showInputMessage="1" showErrorMessage="1" errorTitle="MTO" error="MTO" promptTitle="MTO" prompt="MTO" sqref="J112:S112 J122:S125">
      <formula1>1E+28</formula1>
    </dataValidation>
    <dataValidation type="whole" operator="equal" allowBlank="1" showInputMessage="1" showErrorMessage="1" errorTitle="X" error="X" promptTitle="X" prompt="X" sqref="J76:S76">
      <formula1>1E+27</formula1>
    </dataValidation>
    <dataValidation type="whole" operator="equal" allowBlank="1" showInputMessage="1" showErrorMessage="1" sqref="J74:M75">
      <formula1>1E+28</formula1>
    </dataValidation>
    <dataValidation type="whole" operator="equal" allowBlank="1" showInputMessage="1" showErrorMessage="1" sqref="O74:S75">
      <formula1>1E+23</formula1>
    </dataValidation>
    <dataValidation type="decimal" operator="greaterThan" allowBlank="1" showInputMessage="1" showErrorMessage="1" errorTitle="ITEM NOT VALID IN THIS COLOR" error="ITEM NOT VALID IN THIS COLOR" promptTitle="ITEM NOT VALID IN THIS COLOR" prompt="ITEM NOT VALID IN THIS COLOR" sqref="O172">
      <formula1>10000000000000</formula1>
    </dataValidation>
    <dataValidation type="whole" operator="equal" allowBlank="1" showInputMessage="1" showErrorMessage="1" errorTitle="ITEM NOT VALID IN THIS COLOR" error="ITEM NOT VALID IN THIS COLOR" promptTitle="ITEM NOT VALID IN THIS COLOR" sqref="P172:P175">
      <formula1>1000000</formula1>
    </dataValidation>
    <dataValidation type="decimal" operator="greaterThan" allowBlank="1" showInputMessage="1" showErrorMessage="1" errorTitle="ITEM NOT VALID IN THIS COLOR" error="ITEM NOT VALID IN THIS COLOR" promptTitle="ITEM NOT VALID IN THIS COLOR" prompt="ITEM NOT VALID IN THIS COLOR" sqref="R173:R175">
      <formula1>100000000000</formula1>
    </dataValidation>
    <dataValidation allowBlank="1" showInputMessage="1" showErrorMessage="1" error="Value should be a multiple of 120 " sqref="J14:S14 J15:Q15"/>
    <dataValidation allowBlank="1" showInputMessage="1" showErrorMessage="1" error="Value should be a multiple of 63 per (Pallet)_x000a_" sqref="J42:J43"/>
    <dataValidation allowBlank="1" showInputMessage="1" showErrorMessage="1" error="Value should be a multiple of 54_x000a_ per (Pallet)_x000a_" sqref="J47"/>
    <dataValidation allowBlank="1" showInputMessage="1" showErrorMessage="1" error="Value should be a multiple of 25 per (1/2Pallet)_x000a_" sqref="J53"/>
    <dataValidation allowBlank="1" showInputMessage="1" showErrorMessage="1" error="Value should be a multiple of 100 per (1/2 Pallet)_x000a_" sqref="R35 J34"/>
    <dataValidation allowBlank="1" showInputMessage="1" showErrorMessage="1" error="Value should be a multiple of 64 per (1/2 Pallet)_x000a_" sqref="R37 J36"/>
    <dataValidation allowBlank="1" showInputMessage="1" showErrorMessage="1" error="Value should be a multiple of 100" sqref="R15:S16 J16:Q16"/>
    <dataValidation allowBlank="1" showInputMessage="1" showErrorMessage="1" error="Value should be a multiple of 30 per (Pallet)_x000a_" sqref="J44"/>
    <dataValidation allowBlank="1" showInputMessage="1" showErrorMessage="1" error="Value should be a multiple of 25 per (Pallet)" sqref="J45"/>
    <dataValidation allowBlank="1" showInputMessage="1" showErrorMessage="1" error="Value should be a multiple of 36 per (1/2Pallet)_x000a_" sqref="J52 J48"/>
    <dataValidation type="decimal" operator="equal" allowBlank="1" showInputMessage="1" showErrorMessage="1" errorTitle="x" error="x" promptTitle="x" prompt="x" sqref="J24">
      <formula1>1000000000000000000</formula1>
    </dataValidation>
    <dataValidation type="decimal" operator="equal" allowBlank="1" showInputMessage="1" showErrorMessage="1" errorTitle="X" error="X" promptTitle="X" prompt="X" sqref="J173:J175">
      <formula1>10000000000000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884" yWindow="517" count="10">
        <x14:dataValidation type="list" allowBlank="1" showInputMessage="1" showErrorMessage="1">
          <x14:formula1>
            <xm:f>'CUSTOMER LIST'!$B$3:$B$8</xm:f>
          </x14:formula1>
          <xm:sqref>C3</xm:sqref>
        </x14:dataValidation>
        <x14:dataValidation type="custom" allowBlank="1" showInputMessage="1" showErrorMessage="1" error="Value should be a multiple of 25 per bag">
          <x14:formula1>
            <xm:f>MOD('Main Pricing Template DV'!N100,25)=0</xm:f>
          </x14:formula1>
          <xm:sqref>N73</xm:sqref>
        </x14:dataValidation>
        <x14:dataValidation type="custom" allowBlank="1" showInputMessage="1" showErrorMessage="1" error="Value should be a multiple of 15 per bag">
          <x14:formula1>
            <xm:f>MOD('Main Pricing Template DV'!L62,15)=0</xm:f>
          </x14:formula1>
          <xm:sqref>L63</xm:sqref>
        </x14:dataValidation>
        <x14:dataValidation type="custom" allowBlank="1" showInputMessage="1" showErrorMessage="1" error="Value should be a multiple of 10_x000a_ per bag">
          <x14:formula1>
            <xm:f>MOD('Main Pricing Template DV'!L63,10)=0</xm:f>
          </x14:formula1>
          <xm:sqref>L64</xm:sqref>
        </x14:dataValidation>
        <x14:dataValidation type="custom" allowBlank="1" showInputMessage="1" showErrorMessage="1" error="Value should be a multiple of 15 per bag">
          <x14:formula1>
            <xm:f>MOD('Main Pricing Template DV'!J11,15)=0</xm:f>
          </x14:formula1>
          <xm:sqref>K21:O21 J11:S12 R31</xm:sqref>
        </x14:dataValidation>
        <x14:dataValidation type="custom" allowBlank="1" showInputMessage="1" showErrorMessage="1" error="Value should be a multiple of 10 per bag">
          <x14:formula1>
            <xm:f>MOD('Main Pricing Template DV'!J13,10)=0</xm:f>
          </x14:formula1>
          <xm:sqref>J32 J13:S13 R33 N23:O23 K23:L23</xm:sqref>
        </x14:dataValidation>
        <x14:dataValidation type="custom" allowBlank="1" showInputMessage="1" showErrorMessage="1" error="Value should be a multiple of 20 per bag">
          <x14:formula1>
            <xm:f>MOD('Main Pricing Template DV'!K20,20)=0</xm:f>
          </x14:formula1>
          <xm:sqref>K20:O20</xm:sqref>
        </x14:dataValidation>
        <x14:dataValidation type="custom" allowBlank="1" showInputMessage="1" showErrorMessage="1" error="alue should be a multiple of 10 per bag">
          <x14:formula1>
            <xm:f>MOD('Main Pricing Template DV'!M23,10)=0</xm:f>
          </x14:formula1>
          <xm:sqref>M23</xm:sqref>
        </x14:dataValidation>
        <x14:dataValidation type="custom" allowBlank="1" showInputMessage="1" showErrorMessage="1" error="Value should be a multiple of 9 MobiWays drum_x000a_">
          <x14:formula1>
            <xm:f>MOD('Main Pricing Template DV'!N166,9)=0</xm:f>
          </x14:formula1>
          <xm:sqref>N168 O167 N166 O169</xm:sqref>
        </x14:dataValidation>
        <x14:dataValidation type="custom" allowBlank="1" showInputMessage="1" showErrorMessage="1" error="Value should be a multiple of 9 MobiWays drum_x000a_" promptTitle="MobiWay Unreel Drum" prompt="أدخل عدد البكرات المطلوبة كل بكرة  3000 متر إذا كنت بحاجة إلى بكرة واحدة أدخل 1">
          <x14:formula1>
            <xm:f>MOD('Main Pricing Template DV'!N172,1)=0</xm:f>
          </x14:formula1>
          <xm:sqref>N172 O173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"/>
  <sheetViews>
    <sheetView workbookViewId="0">
      <selection activeCell="A10" sqref="A10"/>
    </sheetView>
  </sheetViews>
  <sheetFormatPr defaultColWidth="8.81640625" defaultRowHeight="14.5" x14ac:dyDescent="0.35"/>
  <cols>
    <col min="1" max="1" width="15" bestFit="1" customWidth="1"/>
    <col min="2" max="3" width="15.36328125" bestFit="1" customWidth="1"/>
    <col min="4" max="4" width="8.36328125" bestFit="1" customWidth="1"/>
    <col min="5" max="5" width="9.36328125" bestFit="1" customWidth="1"/>
    <col min="6" max="6" width="11.36328125" bestFit="1" customWidth="1"/>
    <col min="7" max="8" width="16.36328125" bestFit="1" customWidth="1"/>
    <col min="9" max="9" width="9" bestFit="1" customWidth="1"/>
    <col min="10" max="11" width="12.36328125" bestFit="1" customWidth="1"/>
    <col min="12" max="12" width="21.36328125" bestFit="1" customWidth="1"/>
    <col min="13" max="14" width="23" bestFit="1" customWidth="1"/>
  </cols>
  <sheetData>
    <row r="1" spans="1:14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"/>
  <sheetViews>
    <sheetView workbookViewId="0"/>
  </sheetViews>
  <sheetFormatPr defaultColWidth="8.81640625" defaultRowHeight="14.5" x14ac:dyDescent="0.35"/>
  <cols>
    <col min="6" max="6" width="8.81640625" style="90"/>
  </cols>
  <sheetData>
    <row r="1" spans="1:14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s="90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</sheetData>
  <pageMargins left="0.7" right="0.7" top="0.75" bottom="0.75" header="0.3" footer="0.3"/>
  <pageSetup paperSize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"/>
  <sheetViews>
    <sheetView workbookViewId="0"/>
  </sheetViews>
  <sheetFormatPr defaultColWidth="8.81640625" defaultRowHeight="14.5" x14ac:dyDescent="0.35"/>
  <cols>
    <col min="1" max="1" width="12.6328125" bestFit="1" customWidth="1"/>
    <col min="2" max="2" width="8.08984375" bestFit="1" customWidth="1"/>
    <col min="3" max="3" width="15.26953125" bestFit="1" customWidth="1"/>
    <col min="4" max="4" width="5.7265625" bestFit="1" customWidth="1"/>
    <col min="5" max="5" width="8.7265625" bestFit="1" customWidth="1"/>
    <col min="6" max="6" width="9.6328125" bestFit="1" customWidth="1"/>
    <col min="7" max="7" width="11.36328125" bestFit="1" customWidth="1"/>
    <col min="8" max="8" width="16.7265625" bestFit="1" customWidth="1"/>
    <col min="9" max="9" width="9" bestFit="1" customWidth="1"/>
    <col min="10" max="10" width="5" bestFit="1" customWidth="1"/>
    <col min="11" max="11" width="12.36328125" bestFit="1" customWidth="1"/>
    <col min="12" max="12" width="12.6328125" bestFit="1" customWidth="1"/>
    <col min="13" max="13" width="21.6328125" bestFit="1" customWidth="1"/>
    <col min="14" max="14" width="23" bestFit="1" customWidth="1"/>
  </cols>
  <sheetData>
    <row r="1" spans="1:14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"/>
  <sheetViews>
    <sheetView workbookViewId="0">
      <selection activeCell="D28" sqref="D28"/>
    </sheetView>
  </sheetViews>
  <sheetFormatPr defaultColWidth="8.81640625" defaultRowHeight="14.5" x14ac:dyDescent="0.35"/>
  <cols>
    <col min="1" max="1" width="11" bestFit="1" customWidth="1"/>
    <col min="2" max="2" width="10.08984375" customWidth="1"/>
    <col min="6" max="6" width="13.36328125" customWidth="1"/>
    <col min="7" max="7" width="14.36328125" customWidth="1"/>
  </cols>
  <sheetData>
    <row r="1" spans="1:14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-0.249977111117893"/>
    <pageSetUpPr fitToPage="1"/>
  </sheetPr>
  <dimension ref="A1:L173"/>
  <sheetViews>
    <sheetView zoomScale="120" zoomScaleNormal="120" workbookViewId="0">
      <selection activeCell="A172" sqref="A172:XFD172"/>
    </sheetView>
  </sheetViews>
  <sheetFormatPr defaultColWidth="9.08984375" defaultRowHeight="15.5" x14ac:dyDescent="0.35"/>
  <cols>
    <col min="1" max="1" width="16.81640625" style="55" customWidth="1"/>
    <col min="2" max="2" width="16.36328125" style="55" customWidth="1"/>
    <col min="3" max="3" width="18.08984375" style="55" customWidth="1"/>
    <col min="4" max="4" width="28.36328125" style="60" bestFit="1" customWidth="1"/>
    <col min="5" max="5" width="38.36328125" style="55" bestFit="1" customWidth="1"/>
    <col min="6" max="6" width="18.36328125" style="55" bestFit="1" customWidth="1"/>
    <col min="7" max="7" width="14" style="55" bestFit="1" customWidth="1"/>
    <col min="8" max="8" width="12.36328125" style="55" bestFit="1" customWidth="1"/>
    <col min="9" max="9" width="15.36328125" style="55" bestFit="1" customWidth="1"/>
    <col min="10" max="10" width="10.36328125" style="72" bestFit="1" customWidth="1"/>
    <col min="11" max="11" width="18" style="72" bestFit="1" customWidth="1"/>
    <col min="12" max="12" width="20.08984375" style="55" bestFit="1" customWidth="1"/>
    <col min="13" max="13" width="9.08984375" style="55"/>
    <col min="14" max="14" width="11.36328125" style="55" bestFit="1" customWidth="1"/>
    <col min="15" max="15" width="7.81640625" style="55" bestFit="1" customWidth="1"/>
    <col min="16" max="16384" width="9.08984375" style="55"/>
  </cols>
  <sheetData>
    <row r="1" spans="1:12" ht="21" customHeight="1" x14ac:dyDescent="0.35">
      <c r="C1" s="338" t="s">
        <v>364</v>
      </c>
      <c r="D1" s="338"/>
      <c r="E1" s="338"/>
      <c r="F1" s="338"/>
      <c r="G1" s="338"/>
      <c r="H1" s="338"/>
      <c r="I1" s="338"/>
      <c r="J1" s="338"/>
      <c r="K1" s="338"/>
      <c r="L1" s="56" t="s">
        <v>489</v>
      </c>
    </row>
    <row r="2" spans="1:12" ht="15.75" customHeight="1" x14ac:dyDescent="0.35">
      <c r="C2" s="338"/>
      <c r="D2" s="338"/>
      <c r="E2" s="338"/>
      <c r="F2" s="338"/>
      <c r="G2" s="338"/>
      <c r="H2" s="338"/>
      <c r="I2" s="338"/>
      <c r="J2" s="338"/>
      <c r="K2" s="338"/>
      <c r="L2" s="57"/>
    </row>
    <row r="3" spans="1:12" ht="21" x14ac:dyDescent="0.5">
      <c r="C3" s="339" t="s">
        <v>365</v>
      </c>
      <c r="D3" s="339"/>
      <c r="E3" s="339"/>
      <c r="F3" s="339"/>
      <c r="G3" s="339"/>
      <c r="H3" s="339"/>
      <c r="I3" s="339"/>
      <c r="J3" s="339"/>
      <c r="K3" s="339"/>
      <c r="L3" s="70"/>
    </row>
    <row r="4" spans="1:12" ht="23.5" x14ac:dyDescent="0.55000000000000004">
      <c r="C4" s="340" t="s">
        <v>366</v>
      </c>
      <c r="D4" s="340"/>
      <c r="E4" s="340"/>
      <c r="F4" s="340"/>
      <c r="G4" s="340"/>
      <c r="H4" s="340"/>
      <c r="I4" s="340"/>
      <c r="J4" s="340"/>
      <c r="K4" s="340"/>
      <c r="L4" s="71"/>
    </row>
    <row r="5" spans="1:12" x14ac:dyDescent="0.35">
      <c r="C5" s="340"/>
      <c r="D5" s="340"/>
      <c r="E5" s="340"/>
      <c r="F5" s="340"/>
      <c r="G5" s="340"/>
      <c r="H5" s="340"/>
      <c r="I5" s="340"/>
      <c r="J5" s="340"/>
      <c r="K5" s="340"/>
      <c r="L5" s="58" t="s">
        <v>367</v>
      </c>
    </row>
    <row r="6" spans="1:12" ht="16" thickBot="1" x14ac:dyDescent="0.4">
      <c r="A6" s="55">
        <v>1</v>
      </c>
      <c r="B6" s="55">
        <v>2</v>
      </c>
      <c r="C6" s="59">
        <v>3</v>
      </c>
      <c r="D6" s="60">
        <v>4</v>
      </c>
      <c r="E6" s="55">
        <v>5</v>
      </c>
      <c r="F6" s="59">
        <v>6</v>
      </c>
      <c r="G6" s="55">
        <v>7</v>
      </c>
      <c r="H6" s="59">
        <v>8</v>
      </c>
      <c r="I6" s="55">
        <v>9</v>
      </c>
      <c r="J6" s="59">
        <v>10</v>
      </c>
      <c r="K6" s="55">
        <v>11</v>
      </c>
      <c r="L6" s="59">
        <v>12</v>
      </c>
    </row>
    <row r="7" spans="1:12" x14ac:dyDescent="0.35">
      <c r="C7" s="59"/>
      <c r="D7" s="59"/>
      <c r="E7" s="59"/>
      <c r="F7" s="59"/>
      <c r="G7" s="59"/>
      <c r="H7" s="59"/>
      <c r="I7" s="60"/>
      <c r="J7" s="60"/>
      <c r="K7" s="246" t="s">
        <v>368</v>
      </c>
      <c r="L7" s="247">
        <v>0</v>
      </c>
    </row>
    <row r="8" spans="1:12" x14ac:dyDescent="0.35">
      <c r="A8" s="242" t="s">
        <v>618</v>
      </c>
      <c r="B8" s="242"/>
      <c r="C8" s="242" t="s">
        <v>61</v>
      </c>
      <c r="D8" s="242" t="s">
        <v>480</v>
      </c>
      <c r="E8" s="242" t="s">
        <v>482</v>
      </c>
      <c r="F8" s="242" t="s">
        <v>58</v>
      </c>
      <c r="G8" s="242" t="s">
        <v>619</v>
      </c>
      <c r="H8" s="242" t="s">
        <v>620</v>
      </c>
      <c r="I8" s="242" t="s">
        <v>621</v>
      </c>
      <c r="J8" s="242" t="s">
        <v>483</v>
      </c>
      <c r="K8" s="242" t="s">
        <v>484</v>
      </c>
      <c r="L8" s="242" t="s">
        <v>485</v>
      </c>
    </row>
    <row r="9" spans="1:12" x14ac:dyDescent="0.35">
      <c r="A9" s="243" t="s">
        <v>75</v>
      </c>
      <c r="B9" s="86" t="s">
        <v>369</v>
      </c>
      <c r="C9" s="73" t="s">
        <v>76</v>
      </c>
      <c r="D9" s="249" t="s">
        <v>583</v>
      </c>
      <c r="E9" s="248" t="s">
        <v>369</v>
      </c>
      <c r="F9" s="67" t="s">
        <v>486</v>
      </c>
      <c r="G9" s="67">
        <v>100</v>
      </c>
      <c r="H9" s="67" t="s">
        <v>622</v>
      </c>
      <c r="I9" s="69">
        <v>163.157894736842</v>
      </c>
      <c r="J9" s="67" t="s">
        <v>487</v>
      </c>
      <c r="K9" s="250">
        <v>6.421685396</v>
      </c>
      <c r="L9" s="69">
        <f>(ROUND(I9,0)*(1+$L$7))</f>
        <v>163</v>
      </c>
    </row>
    <row r="10" spans="1:12" x14ac:dyDescent="0.35">
      <c r="A10" s="243" t="s">
        <v>588</v>
      </c>
      <c r="B10" s="86" t="s">
        <v>370</v>
      </c>
      <c r="C10" s="73" t="s">
        <v>76</v>
      </c>
      <c r="D10" s="249" t="s">
        <v>584</v>
      </c>
      <c r="E10" s="248" t="s">
        <v>370</v>
      </c>
      <c r="F10" s="67" t="s">
        <v>486</v>
      </c>
      <c r="G10" s="67">
        <v>100</v>
      </c>
      <c r="H10" s="67" t="s">
        <v>622</v>
      </c>
      <c r="I10" s="69">
        <v>236.84210526315789</v>
      </c>
      <c r="J10" s="67" t="s">
        <v>487</v>
      </c>
      <c r="K10" s="250">
        <v>10.201185990000001</v>
      </c>
      <c r="L10" s="69">
        <f t="shared" ref="L10:L74" si="0">(ROUND(I10,0)*(1+$L$7))</f>
        <v>237</v>
      </c>
    </row>
    <row r="11" spans="1:12" x14ac:dyDescent="0.35">
      <c r="A11" s="243" t="s">
        <v>524</v>
      </c>
      <c r="B11" s="86" t="s">
        <v>371</v>
      </c>
      <c r="C11" s="73" t="s">
        <v>76</v>
      </c>
      <c r="D11" s="249" t="s">
        <v>523</v>
      </c>
      <c r="E11" s="248" t="s">
        <v>371</v>
      </c>
      <c r="F11" s="67" t="s">
        <v>486</v>
      </c>
      <c r="G11" s="67">
        <v>100</v>
      </c>
      <c r="H11" s="67" t="s">
        <v>622</v>
      </c>
      <c r="I11" s="69">
        <v>276.31578947368422</v>
      </c>
      <c r="J11" s="67" t="s">
        <v>487</v>
      </c>
      <c r="K11" s="250">
        <v>12.12231345</v>
      </c>
      <c r="L11" s="69">
        <f t="shared" si="0"/>
        <v>276</v>
      </c>
    </row>
    <row r="12" spans="1:12" x14ac:dyDescent="0.35">
      <c r="A12" s="243" t="s">
        <v>589</v>
      </c>
      <c r="B12" s="86">
        <v>2</v>
      </c>
      <c r="C12" s="73" t="s">
        <v>76</v>
      </c>
      <c r="D12" s="249" t="s">
        <v>585</v>
      </c>
      <c r="E12" s="248">
        <v>2</v>
      </c>
      <c r="F12" s="67" t="s">
        <v>486</v>
      </c>
      <c r="G12" s="67">
        <v>100</v>
      </c>
      <c r="H12" s="67" t="s">
        <v>622</v>
      </c>
      <c r="I12" s="69">
        <v>371.05263157894734</v>
      </c>
      <c r="J12" s="67" t="s">
        <v>487</v>
      </c>
      <c r="K12" s="250">
        <v>15.92518868</v>
      </c>
      <c r="L12" s="69">
        <f t="shared" si="0"/>
        <v>371</v>
      </c>
    </row>
    <row r="13" spans="1:12" x14ac:dyDescent="0.35">
      <c r="A13" s="243" t="s">
        <v>525</v>
      </c>
      <c r="B13" s="86">
        <v>2.5</v>
      </c>
      <c r="C13" s="73" t="s">
        <v>76</v>
      </c>
      <c r="D13" s="249" t="s">
        <v>526</v>
      </c>
      <c r="E13" s="248">
        <v>2.5</v>
      </c>
      <c r="F13" s="67" t="s">
        <v>486</v>
      </c>
      <c r="G13" s="67">
        <v>100</v>
      </c>
      <c r="H13" s="67" t="s">
        <v>622</v>
      </c>
      <c r="I13" s="69">
        <v>425</v>
      </c>
      <c r="J13" s="67" t="s">
        <v>487</v>
      </c>
      <c r="K13" s="250">
        <v>19.145021535997301</v>
      </c>
      <c r="L13" s="69">
        <f t="shared" si="0"/>
        <v>425</v>
      </c>
    </row>
    <row r="14" spans="1:12" x14ac:dyDescent="0.35">
      <c r="A14" s="243" t="s">
        <v>527</v>
      </c>
      <c r="B14" s="86">
        <v>3</v>
      </c>
      <c r="C14" s="73" t="s">
        <v>76</v>
      </c>
      <c r="D14" s="249" t="s">
        <v>586</v>
      </c>
      <c r="E14" s="248">
        <v>3</v>
      </c>
      <c r="F14" s="67" t="s">
        <v>486</v>
      </c>
      <c r="G14" s="67">
        <v>100</v>
      </c>
      <c r="H14" s="67" t="s">
        <v>622</v>
      </c>
      <c r="I14" s="69">
        <v>498.68421052631578</v>
      </c>
      <c r="J14" s="67" t="s">
        <v>487</v>
      </c>
      <c r="K14" s="250">
        <v>22.0584188044167</v>
      </c>
      <c r="L14" s="69">
        <f t="shared" si="0"/>
        <v>499</v>
      </c>
    </row>
    <row r="15" spans="1:12" x14ac:dyDescent="0.35">
      <c r="A15" s="243" t="s">
        <v>528</v>
      </c>
      <c r="B15" s="86">
        <v>4</v>
      </c>
      <c r="C15" s="73" t="s">
        <v>76</v>
      </c>
      <c r="D15" s="249" t="s">
        <v>529</v>
      </c>
      <c r="E15" s="248">
        <v>4</v>
      </c>
      <c r="F15" s="67" t="s">
        <v>486</v>
      </c>
      <c r="G15" s="67">
        <v>100</v>
      </c>
      <c r="H15" s="67" t="s">
        <v>622</v>
      </c>
      <c r="I15" s="69">
        <v>665.78947368421052</v>
      </c>
      <c r="J15" s="67" t="s">
        <v>487</v>
      </c>
      <c r="K15" s="250">
        <v>31.000200204493602</v>
      </c>
      <c r="L15" s="69">
        <f t="shared" si="0"/>
        <v>666</v>
      </c>
    </row>
    <row r="16" spans="1:12" x14ac:dyDescent="0.35">
      <c r="A16" s="244" t="s">
        <v>821</v>
      </c>
      <c r="B16" s="86">
        <v>6</v>
      </c>
      <c r="C16" s="251" t="s">
        <v>76</v>
      </c>
      <c r="D16" s="249" t="s">
        <v>824</v>
      </c>
      <c r="E16" s="248" t="s">
        <v>623</v>
      </c>
      <c r="F16" s="67" t="s">
        <v>488</v>
      </c>
      <c r="G16" s="67">
        <v>1000</v>
      </c>
      <c r="H16" s="67" t="s">
        <v>624</v>
      </c>
      <c r="I16" s="69">
        <f>(I15/0.914)*(1+3%)</f>
        <v>750.28791892203162</v>
      </c>
      <c r="J16" s="67" t="s">
        <v>363</v>
      </c>
      <c r="K16" s="250">
        <v>31.000200204493602</v>
      </c>
      <c r="L16" s="69">
        <f t="shared" si="0"/>
        <v>750</v>
      </c>
    </row>
    <row r="17" spans="1:12" x14ac:dyDescent="0.35">
      <c r="A17" s="243" t="s">
        <v>530</v>
      </c>
      <c r="B17" s="86">
        <v>10</v>
      </c>
      <c r="C17" s="73" t="s">
        <v>76</v>
      </c>
      <c r="D17" s="249" t="s">
        <v>587</v>
      </c>
      <c r="E17" s="248">
        <v>6</v>
      </c>
      <c r="F17" s="67" t="s">
        <v>486</v>
      </c>
      <c r="G17" s="67">
        <v>100</v>
      </c>
      <c r="H17" s="67" t="s">
        <v>622</v>
      </c>
      <c r="I17" s="69">
        <v>984.21052631578948</v>
      </c>
      <c r="J17" s="67" t="s">
        <v>487</v>
      </c>
      <c r="K17" s="250">
        <v>46.543782287076901</v>
      </c>
      <c r="L17" s="69">
        <f t="shared" si="0"/>
        <v>984</v>
      </c>
    </row>
    <row r="18" spans="1:12" x14ac:dyDescent="0.35">
      <c r="A18" s="244" t="s">
        <v>560</v>
      </c>
      <c r="B18" s="86">
        <v>16</v>
      </c>
      <c r="C18" s="251" t="s">
        <v>76</v>
      </c>
      <c r="D18" s="249" t="s">
        <v>625</v>
      </c>
      <c r="E18" s="248" t="s">
        <v>626</v>
      </c>
      <c r="F18" s="67" t="s">
        <v>488</v>
      </c>
      <c r="G18" s="67">
        <v>1000</v>
      </c>
      <c r="H18" s="67" t="s">
        <v>624</v>
      </c>
      <c r="I18" s="69">
        <f>(I17/0.914)*(1+3%)</f>
        <v>1109.1212714499597</v>
      </c>
      <c r="J18" s="67" t="s">
        <v>363</v>
      </c>
      <c r="K18" s="250">
        <v>46.543782287076901</v>
      </c>
      <c r="L18" s="69">
        <f t="shared" si="0"/>
        <v>1109</v>
      </c>
    </row>
    <row r="19" spans="1:12" x14ac:dyDescent="0.35">
      <c r="A19" s="243" t="s">
        <v>77</v>
      </c>
      <c r="B19" s="86">
        <v>25</v>
      </c>
      <c r="C19" s="73" t="s">
        <v>76</v>
      </c>
      <c r="D19" s="249" t="s">
        <v>543</v>
      </c>
      <c r="E19" s="248">
        <v>10</v>
      </c>
      <c r="F19" s="67" t="s">
        <v>486</v>
      </c>
      <c r="G19" s="67">
        <v>100</v>
      </c>
      <c r="H19" s="67" t="s">
        <v>622</v>
      </c>
      <c r="I19" s="69">
        <v>1686.8421052631579</v>
      </c>
      <c r="J19" s="67" t="s">
        <v>487</v>
      </c>
      <c r="K19" s="250">
        <v>78.052460305040597</v>
      </c>
      <c r="L19" s="69">
        <f t="shared" si="0"/>
        <v>1687</v>
      </c>
    </row>
    <row r="20" spans="1:12" x14ac:dyDescent="0.35">
      <c r="A20" s="244" t="s">
        <v>825</v>
      </c>
      <c r="B20" s="86">
        <v>35</v>
      </c>
      <c r="C20" s="251" t="s">
        <v>76</v>
      </c>
      <c r="D20" s="249" t="s">
        <v>627</v>
      </c>
      <c r="E20" s="248" t="s">
        <v>628</v>
      </c>
      <c r="F20" s="67" t="s">
        <v>488</v>
      </c>
      <c r="G20" s="67">
        <v>1000</v>
      </c>
      <c r="H20" s="67" t="s">
        <v>624</v>
      </c>
      <c r="I20" s="69">
        <f>(I19/0.914)*(1+3%)</f>
        <v>1900.9270989289416</v>
      </c>
      <c r="J20" s="67" t="s">
        <v>363</v>
      </c>
      <c r="K20" s="250">
        <v>78.052460305040597</v>
      </c>
      <c r="L20" s="69">
        <f t="shared" si="0"/>
        <v>1901</v>
      </c>
    </row>
    <row r="21" spans="1:12" x14ac:dyDescent="0.35">
      <c r="A21" s="243" t="s">
        <v>17</v>
      </c>
      <c r="B21" s="86" t="s">
        <v>372</v>
      </c>
      <c r="C21" s="73" t="s">
        <v>76</v>
      </c>
      <c r="D21" s="249" t="s">
        <v>629</v>
      </c>
      <c r="E21" s="248">
        <v>16</v>
      </c>
      <c r="F21" s="67" t="s">
        <v>486</v>
      </c>
      <c r="G21" s="67">
        <v>100</v>
      </c>
      <c r="H21" s="67" t="s">
        <v>622</v>
      </c>
      <c r="I21" s="69">
        <v>2752.6315789473683</v>
      </c>
      <c r="J21" s="67" t="s">
        <v>487</v>
      </c>
      <c r="K21" s="250">
        <v>124.887551499398</v>
      </c>
      <c r="L21" s="69">
        <f t="shared" si="0"/>
        <v>2753</v>
      </c>
    </row>
    <row r="22" spans="1:12" x14ac:dyDescent="0.35">
      <c r="A22" s="244" t="s">
        <v>561</v>
      </c>
      <c r="B22" s="86" t="s">
        <v>372</v>
      </c>
      <c r="C22" s="251" t="s">
        <v>76</v>
      </c>
      <c r="D22" s="249" t="s">
        <v>630</v>
      </c>
      <c r="E22" s="248" t="s">
        <v>631</v>
      </c>
      <c r="F22" s="67" t="s">
        <v>488</v>
      </c>
      <c r="G22" s="67">
        <v>1000</v>
      </c>
      <c r="H22" s="67" t="s">
        <v>624</v>
      </c>
      <c r="I22" s="69">
        <f>(I21/0.914)*(1+3%)</f>
        <v>3101.9808821835768</v>
      </c>
      <c r="J22" s="67" t="s">
        <v>363</v>
      </c>
      <c r="K22" s="250">
        <v>124.887551499398</v>
      </c>
      <c r="L22" s="69">
        <f t="shared" si="0"/>
        <v>3102</v>
      </c>
    </row>
    <row r="23" spans="1:12" x14ac:dyDescent="0.35">
      <c r="A23" s="243" t="s">
        <v>78</v>
      </c>
      <c r="B23" s="86" t="s">
        <v>373</v>
      </c>
      <c r="C23" s="73" t="s">
        <v>76</v>
      </c>
      <c r="D23" s="249" t="s">
        <v>544</v>
      </c>
      <c r="E23" s="248">
        <v>25</v>
      </c>
      <c r="F23" s="67" t="s">
        <v>486</v>
      </c>
      <c r="G23" s="67">
        <v>100</v>
      </c>
      <c r="H23" s="67" t="s">
        <v>622</v>
      </c>
      <c r="I23" s="69">
        <v>4265.7894736842109</v>
      </c>
      <c r="J23" s="67" t="s">
        <v>487</v>
      </c>
      <c r="K23" s="250">
        <v>197.06265792448198</v>
      </c>
      <c r="L23" s="69">
        <f t="shared" si="0"/>
        <v>4266</v>
      </c>
    </row>
    <row r="24" spans="1:12" x14ac:dyDescent="0.35">
      <c r="A24" s="244" t="s">
        <v>562</v>
      </c>
      <c r="B24" s="86" t="s">
        <v>374</v>
      </c>
      <c r="C24" s="251" t="s">
        <v>76</v>
      </c>
      <c r="D24" s="249" t="s">
        <v>632</v>
      </c>
      <c r="E24" s="248" t="s">
        <v>633</v>
      </c>
      <c r="F24" s="67" t="s">
        <v>488</v>
      </c>
      <c r="G24" s="67">
        <v>1000</v>
      </c>
      <c r="H24" s="67" t="s">
        <v>624</v>
      </c>
      <c r="I24" s="69">
        <f>(I23/0.914)*(1+3%)</f>
        <v>4807.1806979154671</v>
      </c>
      <c r="J24" s="67" t="s">
        <v>363</v>
      </c>
      <c r="K24" s="250">
        <v>197.06265792448198</v>
      </c>
      <c r="L24" s="69">
        <f t="shared" si="0"/>
        <v>4807</v>
      </c>
    </row>
    <row r="25" spans="1:12" x14ac:dyDescent="0.35">
      <c r="A25" s="243" t="s">
        <v>210</v>
      </c>
      <c r="B25" s="86" t="s">
        <v>375</v>
      </c>
      <c r="C25" s="73" t="s">
        <v>76</v>
      </c>
      <c r="D25" s="249" t="s">
        <v>634</v>
      </c>
      <c r="E25" s="248">
        <v>35</v>
      </c>
      <c r="F25" s="67" t="s">
        <v>486</v>
      </c>
      <c r="G25" s="67">
        <v>100</v>
      </c>
      <c r="H25" s="67" t="s">
        <v>622</v>
      </c>
      <c r="I25" s="69">
        <v>5914.4736842105267</v>
      </c>
      <c r="J25" s="67" t="s">
        <v>487</v>
      </c>
      <c r="K25" s="250">
        <v>270.577941307657</v>
      </c>
      <c r="L25" s="69">
        <f t="shared" si="0"/>
        <v>5914</v>
      </c>
    </row>
    <row r="26" spans="1:12" x14ac:dyDescent="0.35">
      <c r="A26" s="244" t="s">
        <v>563</v>
      </c>
      <c r="B26" s="86" t="s">
        <v>376</v>
      </c>
      <c r="C26" s="251" t="s">
        <v>76</v>
      </c>
      <c r="D26" s="249" t="s">
        <v>635</v>
      </c>
      <c r="E26" s="248" t="s">
        <v>636</v>
      </c>
      <c r="F26" s="67" t="s">
        <v>488</v>
      </c>
      <c r="G26" s="67">
        <v>1000</v>
      </c>
      <c r="H26" s="67" t="s">
        <v>624</v>
      </c>
      <c r="I26" s="69">
        <f>(I25/0.914)*(1+3%)</f>
        <v>6665.1071058389962</v>
      </c>
      <c r="J26" s="67" t="s">
        <v>363</v>
      </c>
      <c r="K26" s="250">
        <v>270.577941307657</v>
      </c>
      <c r="L26" s="69">
        <f t="shared" si="0"/>
        <v>6665</v>
      </c>
    </row>
    <row r="27" spans="1:12" x14ac:dyDescent="0.35">
      <c r="A27" s="243" t="s">
        <v>203</v>
      </c>
      <c r="B27" s="86" t="s">
        <v>377</v>
      </c>
      <c r="C27" s="74" t="s">
        <v>204</v>
      </c>
      <c r="D27" s="249" t="s">
        <v>637</v>
      </c>
      <c r="E27" s="248" t="s">
        <v>638</v>
      </c>
      <c r="F27" s="67" t="s">
        <v>486</v>
      </c>
      <c r="G27" s="67">
        <v>100</v>
      </c>
      <c r="H27" s="67" t="s">
        <v>622</v>
      </c>
      <c r="I27" s="69">
        <v>101.31578947368421</v>
      </c>
      <c r="J27" s="67" t="s">
        <v>487</v>
      </c>
      <c r="K27" s="250">
        <v>3.1359339999999998</v>
      </c>
      <c r="L27" s="69">
        <f t="shared" si="0"/>
        <v>101</v>
      </c>
    </row>
    <row r="28" spans="1:12" x14ac:dyDescent="0.35">
      <c r="A28" s="243" t="s">
        <v>92</v>
      </c>
      <c r="B28" s="86" t="s">
        <v>372</v>
      </c>
      <c r="C28" s="75" t="s">
        <v>91</v>
      </c>
      <c r="D28" s="249" t="s">
        <v>639</v>
      </c>
      <c r="E28" s="248" t="s">
        <v>640</v>
      </c>
      <c r="F28" s="67" t="s">
        <v>486</v>
      </c>
      <c r="G28" s="67">
        <v>100</v>
      </c>
      <c r="H28" s="67" t="s">
        <v>622</v>
      </c>
      <c r="I28" s="69">
        <v>264.4736842105263</v>
      </c>
      <c r="J28" s="67" t="s">
        <v>487</v>
      </c>
      <c r="K28" s="250">
        <v>7.3839610480000006</v>
      </c>
      <c r="L28" s="69">
        <f t="shared" si="0"/>
        <v>264</v>
      </c>
    </row>
    <row r="29" spans="1:12" x14ac:dyDescent="0.35">
      <c r="A29" s="243" t="s">
        <v>98</v>
      </c>
      <c r="B29" s="86" t="s">
        <v>374</v>
      </c>
      <c r="C29" s="75" t="s">
        <v>91</v>
      </c>
      <c r="D29" s="249" t="s">
        <v>641</v>
      </c>
      <c r="E29" s="248" t="s">
        <v>642</v>
      </c>
      <c r="F29" s="67" t="s">
        <v>486</v>
      </c>
      <c r="G29" s="67">
        <v>100</v>
      </c>
      <c r="H29" s="67" t="s">
        <v>622</v>
      </c>
      <c r="I29" s="69">
        <v>427.63157894736844</v>
      </c>
      <c r="J29" s="67" t="s">
        <v>487</v>
      </c>
      <c r="K29" s="250">
        <v>14.878188205572501</v>
      </c>
      <c r="L29" s="69">
        <f t="shared" si="0"/>
        <v>428</v>
      </c>
    </row>
    <row r="30" spans="1:12" x14ac:dyDescent="0.35">
      <c r="A30" s="243" t="s">
        <v>106</v>
      </c>
      <c r="B30" s="86" t="s">
        <v>375</v>
      </c>
      <c r="C30" s="75" t="s">
        <v>91</v>
      </c>
      <c r="D30" s="249" t="s">
        <v>643</v>
      </c>
      <c r="E30" s="248" t="s">
        <v>644</v>
      </c>
      <c r="F30" s="67" t="s">
        <v>486</v>
      </c>
      <c r="G30" s="67">
        <v>100</v>
      </c>
      <c r="H30" s="67" t="s">
        <v>622</v>
      </c>
      <c r="I30" s="69">
        <v>771.0526315789474</v>
      </c>
      <c r="J30" s="67" t="s">
        <v>487</v>
      </c>
      <c r="K30" s="250">
        <v>30.528815108797101</v>
      </c>
      <c r="L30" s="69">
        <f t="shared" si="0"/>
        <v>771</v>
      </c>
    </row>
    <row r="31" spans="1:12" ht="16" thickBot="1" x14ac:dyDescent="0.4">
      <c r="A31" s="243" t="s">
        <v>102</v>
      </c>
      <c r="B31" s="86" t="s">
        <v>376</v>
      </c>
      <c r="C31" s="75" t="s">
        <v>91</v>
      </c>
      <c r="D31" s="249" t="s">
        <v>645</v>
      </c>
      <c r="E31" s="248" t="s">
        <v>646</v>
      </c>
      <c r="F31" s="67" t="s">
        <v>486</v>
      </c>
      <c r="G31" s="67">
        <v>100</v>
      </c>
      <c r="H31" s="67" t="s">
        <v>622</v>
      </c>
      <c r="I31" s="69">
        <v>572.36842105263156</v>
      </c>
      <c r="J31" s="67" t="s">
        <v>487</v>
      </c>
      <c r="K31" s="250">
        <v>21.681983740498598</v>
      </c>
      <c r="L31" s="69">
        <f t="shared" si="0"/>
        <v>572</v>
      </c>
    </row>
    <row r="32" spans="1:12" x14ac:dyDescent="0.35">
      <c r="A32" s="243" t="s">
        <v>110</v>
      </c>
      <c r="B32" s="61" t="s">
        <v>372</v>
      </c>
      <c r="C32" s="75" t="s">
        <v>91</v>
      </c>
      <c r="D32" s="249" t="s">
        <v>647</v>
      </c>
      <c r="E32" s="248" t="s">
        <v>648</v>
      </c>
      <c r="F32" s="67" t="s">
        <v>486</v>
      </c>
      <c r="G32" s="67">
        <v>100</v>
      </c>
      <c r="H32" s="67" t="s">
        <v>622</v>
      </c>
      <c r="I32" s="69">
        <v>901.31578947368416</v>
      </c>
      <c r="J32" s="67" t="s">
        <v>487</v>
      </c>
      <c r="K32" s="250">
        <v>36.054843295149496</v>
      </c>
      <c r="L32" s="69">
        <f t="shared" si="0"/>
        <v>901</v>
      </c>
    </row>
    <row r="33" spans="1:12" x14ac:dyDescent="0.35">
      <c r="A33" s="243" t="s">
        <v>94</v>
      </c>
      <c r="B33" s="62" t="s">
        <v>373</v>
      </c>
      <c r="C33" s="75" t="s">
        <v>91</v>
      </c>
      <c r="D33" s="249" t="s">
        <v>649</v>
      </c>
      <c r="E33" s="248" t="s">
        <v>650</v>
      </c>
      <c r="F33" s="67" t="s">
        <v>486</v>
      </c>
      <c r="G33" s="67">
        <v>100</v>
      </c>
      <c r="H33" s="67" t="s">
        <v>622</v>
      </c>
      <c r="I33" s="69">
        <v>285.5263157894737</v>
      </c>
      <c r="J33" s="67" t="s">
        <v>487</v>
      </c>
      <c r="K33" s="250">
        <v>7.3839610480000006</v>
      </c>
      <c r="L33" s="69">
        <f t="shared" si="0"/>
        <v>286</v>
      </c>
    </row>
    <row r="34" spans="1:12" x14ac:dyDescent="0.35">
      <c r="A34" s="243" t="s">
        <v>100</v>
      </c>
      <c r="B34" s="62" t="s">
        <v>374</v>
      </c>
      <c r="C34" s="75" t="s">
        <v>91</v>
      </c>
      <c r="D34" s="249" t="s">
        <v>651</v>
      </c>
      <c r="E34" s="248" t="s">
        <v>652</v>
      </c>
      <c r="F34" s="67" t="s">
        <v>486</v>
      </c>
      <c r="G34" s="67">
        <v>100</v>
      </c>
      <c r="H34" s="67" t="s">
        <v>622</v>
      </c>
      <c r="I34" s="69">
        <v>461.84210526315786</v>
      </c>
      <c r="J34" s="67" t="s">
        <v>487</v>
      </c>
      <c r="K34" s="250">
        <v>14.878188205572501</v>
      </c>
      <c r="L34" s="69">
        <f t="shared" si="0"/>
        <v>462</v>
      </c>
    </row>
    <row r="35" spans="1:12" x14ac:dyDescent="0.35">
      <c r="A35" s="243" t="s">
        <v>104</v>
      </c>
      <c r="B35" s="62" t="s">
        <v>378</v>
      </c>
      <c r="C35" s="75" t="s">
        <v>91</v>
      </c>
      <c r="D35" s="249" t="s">
        <v>653</v>
      </c>
      <c r="E35" s="248" t="s">
        <v>654</v>
      </c>
      <c r="F35" s="67" t="s">
        <v>486</v>
      </c>
      <c r="G35" s="67">
        <v>100</v>
      </c>
      <c r="H35" s="67" t="s">
        <v>622</v>
      </c>
      <c r="I35" s="69">
        <v>602.63157894736844</v>
      </c>
      <c r="J35" s="67" t="s">
        <v>487</v>
      </c>
      <c r="K35" s="250">
        <v>21.697083020498599</v>
      </c>
      <c r="L35" s="69">
        <f t="shared" si="0"/>
        <v>603</v>
      </c>
    </row>
    <row r="36" spans="1:12" x14ac:dyDescent="0.35">
      <c r="A36" s="243" t="s">
        <v>108</v>
      </c>
      <c r="B36" s="62" t="s">
        <v>379</v>
      </c>
      <c r="C36" s="75" t="s">
        <v>91</v>
      </c>
      <c r="D36" s="249" t="s">
        <v>655</v>
      </c>
      <c r="E36" s="248" t="s">
        <v>656</v>
      </c>
      <c r="F36" s="67" t="s">
        <v>486</v>
      </c>
      <c r="G36" s="67">
        <v>100</v>
      </c>
      <c r="H36" s="67" t="s">
        <v>622</v>
      </c>
      <c r="I36" s="69">
        <v>828.9473684210526</v>
      </c>
      <c r="J36" s="67" t="s">
        <v>487</v>
      </c>
      <c r="K36" s="250">
        <v>30.528815108797101</v>
      </c>
      <c r="L36" s="69">
        <f t="shared" si="0"/>
        <v>829</v>
      </c>
    </row>
    <row r="37" spans="1:12" x14ac:dyDescent="0.35">
      <c r="A37" s="54" t="s">
        <v>112</v>
      </c>
      <c r="B37" s="62" t="s">
        <v>840</v>
      </c>
      <c r="C37" s="75" t="s">
        <v>113</v>
      </c>
      <c r="D37" s="249" t="s">
        <v>839</v>
      </c>
      <c r="E37" s="248" t="s">
        <v>93</v>
      </c>
      <c r="F37" s="67" t="s">
        <v>486</v>
      </c>
      <c r="G37" s="67">
        <v>101</v>
      </c>
      <c r="H37" s="67" t="s">
        <v>622</v>
      </c>
      <c r="I37" s="69"/>
      <c r="J37" s="67"/>
      <c r="K37" s="250"/>
      <c r="L37" s="69"/>
    </row>
    <row r="38" spans="1:12" x14ac:dyDescent="0.35">
      <c r="A38" s="243" t="s">
        <v>115</v>
      </c>
      <c r="B38" s="62" t="s">
        <v>380</v>
      </c>
      <c r="C38" s="75" t="s">
        <v>113</v>
      </c>
      <c r="D38" s="249" t="s">
        <v>657</v>
      </c>
      <c r="E38" s="248" t="s">
        <v>658</v>
      </c>
      <c r="F38" s="67" t="s">
        <v>486</v>
      </c>
      <c r="G38" s="67">
        <v>100</v>
      </c>
      <c r="H38" s="67" t="s">
        <v>622</v>
      </c>
      <c r="I38" s="69">
        <v>542.10526315789468</v>
      </c>
      <c r="J38" s="67" t="s">
        <v>487</v>
      </c>
      <c r="K38" s="250">
        <v>15.0429275655725</v>
      </c>
      <c r="L38" s="69">
        <f t="shared" si="0"/>
        <v>542</v>
      </c>
    </row>
    <row r="39" spans="1:12" x14ac:dyDescent="0.35">
      <c r="A39" s="243" t="s">
        <v>127</v>
      </c>
      <c r="B39" s="62" t="s">
        <v>381</v>
      </c>
      <c r="C39" s="75" t="s">
        <v>113</v>
      </c>
      <c r="D39" s="249" t="s">
        <v>659</v>
      </c>
      <c r="E39" s="248" t="s">
        <v>383</v>
      </c>
      <c r="F39" s="67" t="s">
        <v>486</v>
      </c>
      <c r="G39" s="67">
        <v>100</v>
      </c>
      <c r="H39" s="67" t="s">
        <v>622</v>
      </c>
      <c r="I39" s="69">
        <v>955.26315789473688</v>
      </c>
      <c r="J39" s="67" t="s">
        <v>487</v>
      </c>
      <c r="K39" s="250">
        <v>30.103850641572503</v>
      </c>
      <c r="L39" s="69">
        <f t="shared" si="0"/>
        <v>955</v>
      </c>
    </row>
    <row r="40" spans="1:12" x14ac:dyDescent="0.35">
      <c r="A40" s="243" t="s">
        <v>21</v>
      </c>
      <c r="B40" s="62" t="s">
        <v>382</v>
      </c>
      <c r="C40" s="75" t="s">
        <v>129</v>
      </c>
      <c r="D40" s="249" t="s">
        <v>660</v>
      </c>
      <c r="E40" s="248" t="s">
        <v>661</v>
      </c>
      <c r="F40" s="67" t="s">
        <v>486</v>
      </c>
      <c r="G40" s="67">
        <v>100</v>
      </c>
      <c r="H40" s="67" t="s">
        <v>622</v>
      </c>
      <c r="I40" s="69">
        <v>693.42105263157896</v>
      </c>
      <c r="J40" s="67" t="s">
        <v>487</v>
      </c>
      <c r="K40" s="250">
        <v>21.9218977724986</v>
      </c>
      <c r="L40" s="69">
        <f t="shared" si="0"/>
        <v>693</v>
      </c>
    </row>
    <row r="41" spans="1:12" ht="16" thickBot="1" x14ac:dyDescent="0.4">
      <c r="A41" s="243" t="s">
        <v>130</v>
      </c>
      <c r="B41" s="63" t="s">
        <v>383</v>
      </c>
      <c r="C41" s="75" t="s">
        <v>129</v>
      </c>
      <c r="D41" s="249" t="s">
        <v>662</v>
      </c>
      <c r="E41" s="248" t="s">
        <v>663</v>
      </c>
      <c r="F41" s="67" t="s">
        <v>486</v>
      </c>
      <c r="G41" s="67">
        <v>100</v>
      </c>
      <c r="H41" s="67" t="s">
        <v>622</v>
      </c>
      <c r="I41" s="69">
        <v>1101.3157894736842</v>
      </c>
      <c r="J41" s="67" t="s">
        <v>487</v>
      </c>
      <c r="K41" s="250">
        <v>36.464508149149495</v>
      </c>
      <c r="L41" s="69">
        <f t="shared" si="0"/>
        <v>1101</v>
      </c>
    </row>
    <row r="42" spans="1:12" x14ac:dyDescent="0.35">
      <c r="A42" s="243" t="s">
        <v>131</v>
      </c>
      <c r="B42" s="61" t="s">
        <v>375</v>
      </c>
      <c r="C42" s="75" t="s">
        <v>129</v>
      </c>
      <c r="D42" s="249" t="s">
        <v>664</v>
      </c>
      <c r="E42" s="248" t="s">
        <v>665</v>
      </c>
      <c r="F42" s="67" t="s">
        <v>486</v>
      </c>
      <c r="G42" s="67">
        <v>100</v>
      </c>
      <c r="H42" s="67" t="s">
        <v>622</v>
      </c>
      <c r="I42" s="69">
        <v>1656.578947368421</v>
      </c>
      <c r="J42" s="67" t="s">
        <v>487</v>
      </c>
      <c r="K42" s="250">
        <v>59.6936505187427</v>
      </c>
      <c r="L42" s="69">
        <f t="shared" si="0"/>
        <v>1657</v>
      </c>
    </row>
    <row r="43" spans="1:12" x14ac:dyDescent="0.35">
      <c r="A43" s="243" t="s">
        <v>133</v>
      </c>
      <c r="B43" s="62" t="s">
        <v>377</v>
      </c>
      <c r="C43" s="75" t="s">
        <v>129</v>
      </c>
      <c r="D43" s="249" t="s">
        <v>666</v>
      </c>
      <c r="E43" s="248" t="s">
        <v>667</v>
      </c>
      <c r="F43" s="67" t="s">
        <v>486</v>
      </c>
      <c r="G43" s="67">
        <v>100</v>
      </c>
      <c r="H43" s="67" t="s">
        <v>622</v>
      </c>
      <c r="I43" s="69">
        <v>2415.7894736842104</v>
      </c>
      <c r="J43" s="67" t="s">
        <v>487</v>
      </c>
      <c r="K43" s="250">
        <v>88.882736948169892</v>
      </c>
      <c r="L43" s="69">
        <f t="shared" si="0"/>
        <v>2416</v>
      </c>
    </row>
    <row r="44" spans="1:12" x14ac:dyDescent="0.35">
      <c r="A44" s="243" t="s">
        <v>137</v>
      </c>
      <c r="B44" s="62" t="s">
        <v>384</v>
      </c>
      <c r="C44" s="75" t="s">
        <v>129</v>
      </c>
      <c r="D44" s="249" t="s">
        <v>668</v>
      </c>
      <c r="E44" s="248" t="s">
        <v>669</v>
      </c>
      <c r="F44" s="67" t="s">
        <v>486</v>
      </c>
      <c r="G44" s="67">
        <v>100</v>
      </c>
      <c r="H44" s="67" t="s">
        <v>622</v>
      </c>
      <c r="I44" s="69">
        <v>989.47368421052636</v>
      </c>
      <c r="J44" s="67" t="s">
        <v>487</v>
      </c>
      <c r="K44" s="250">
        <v>32.886505004498602</v>
      </c>
      <c r="L44" s="69">
        <f t="shared" si="0"/>
        <v>989</v>
      </c>
    </row>
    <row r="45" spans="1:12" x14ac:dyDescent="0.35">
      <c r="A45" s="243" t="s">
        <v>139</v>
      </c>
      <c r="B45" s="62" t="s">
        <v>385</v>
      </c>
      <c r="C45" s="75" t="s">
        <v>129</v>
      </c>
      <c r="D45" s="249" t="s">
        <v>670</v>
      </c>
      <c r="E45" s="248" t="s">
        <v>671</v>
      </c>
      <c r="F45" s="67" t="s">
        <v>486</v>
      </c>
      <c r="G45" s="67">
        <v>100</v>
      </c>
      <c r="H45" s="67" t="s">
        <v>622</v>
      </c>
      <c r="I45" s="69">
        <v>1509.2105263157894</v>
      </c>
      <c r="J45" s="67" t="s">
        <v>487</v>
      </c>
      <c r="K45" s="250">
        <v>54.7107541291495</v>
      </c>
      <c r="L45" s="69">
        <f t="shared" si="0"/>
        <v>1509</v>
      </c>
    </row>
    <row r="46" spans="1:12" x14ac:dyDescent="0.35">
      <c r="A46" s="243" t="s">
        <v>141</v>
      </c>
      <c r="B46" s="62" t="s">
        <v>386</v>
      </c>
      <c r="C46" s="75" t="s">
        <v>129</v>
      </c>
      <c r="D46" s="249" t="s">
        <v>672</v>
      </c>
      <c r="E46" s="248" t="s">
        <v>673</v>
      </c>
      <c r="F46" s="67" t="s">
        <v>486</v>
      </c>
      <c r="G46" s="67">
        <v>100</v>
      </c>
      <c r="H46" s="67" t="s">
        <v>622</v>
      </c>
      <c r="I46" s="69">
        <v>2386.8421052631579</v>
      </c>
      <c r="J46" s="67" t="s">
        <v>487</v>
      </c>
      <c r="K46" s="250">
        <v>89.610970890742706</v>
      </c>
      <c r="L46" s="69">
        <f t="shared" si="0"/>
        <v>2387</v>
      </c>
    </row>
    <row r="47" spans="1:12" x14ac:dyDescent="0.35">
      <c r="A47" s="243" t="s">
        <v>143</v>
      </c>
      <c r="B47" s="62" t="s">
        <v>387</v>
      </c>
      <c r="C47" s="75" t="s">
        <v>129</v>
      </c>
      <c r="D47" s="249" t="s">
        <v>674</v>
      </c>
      <c r="E47" s="248" t="s">
        <v>675</v>
      </c>
      <c r="F47" s="67" t="s">
        <v>486</v>
      </c>
      <c r="G47" s="67">
        <v>100</v>
      </c>
      <c r="H47" s="67" t="s">
        <v>622</v>
      </c>
      <c r="I47" s="69">
        <v>3585.5263157894738</v>
      </c>
      <c r="J47" s="67" t="s">
        <v>487</v>
      </c>
      <c r="K47" s="250">
        <v>132.09908179016898</v>
      </c>
      <c r="L47" s="69">
        <f t="shared" si="0"/>
        <v>3586</v>
      </c>
    </row>
    <row r="48" spans="1:12" x14ac:dyDescent="0.35">
      <c r="A48" s="243" t="s">
        <v>147</v>
      </c>
      <c r="B48" s="62" t="s">
        <v>388</v>
      </c>
      <c r="C48" s="75" t="s">
        <v>129</v>
      </c>
      <c r="D48" s="249" t="s">
        <v>676</v>
      </c>
      <c r="E48" s="248" t="s">
        <v>677</v>
      </c>
      <c r="F48" s="67" t="s">
        <v>486</v>
      </c>
      <c r="G48" s="67">
        <v>100</v>
      </c>
      <c r="H48" s="67" t="s">
        <v>622</v>
      </c>
      <c r="I48" s="69">
        <v>1310.5263157894738</v>
      </c>
      <c r="J48" s="67" t="s">
        <v>487</v>
      </c>
      <c r="K48" s="250">
        <v>43.915988870498602</v>
      </c>
      <c r="L48" s="69">
        <f t="shared" si="0"/>
        <v>1311</v>
      </c>
    </row>
    <row r="49" spans="1:12" x14ac:dyDescent="0.35">
      <c r="A49" s="243" t="s">
        <v>149</v>
      </c>
      <c r="B49" s="62" t="s">
        <v>389</v>
      </c>
      <c r="C49" s="75" t="s">
        <v>129</v>
      </c>
      <c r="D49" s="249" t="s">
        <v>678</v>
      </c>
      <c r="E49" s="248" t="s">
        <v>679</v>
      </c>
      <c r="F49" s="67" t="s">
        <v>486</v>
      </c>
      <c r="G49" s="67">
        <v>100</v>
      </c>
      <c r="H49" s="67" t="s">
        <v>622</v>
      </c>
      <c r="I49" s="69">
        <v>2032.8947368421052</v>
      </c>
      <c r="J49" s="67" t="s">
        <v>487</v>
      </c>
      <c r="K49" s="250">
        <v>73.110604207149507</v>
      </c>
      <c r="L49" s="69">
        <f t="shared" si="0"/>
        <v>2033</v>
      </c>
    </row>
    <row r="50" spans="1:12" x14ac:dyDescent="0.35">
      <c r="A50" s="243" t="s">
        <v>151</v>
      </c>
      <c r="B50" s="62" t="s">
        <v>390</v>
      </c>
      <c r="C50" s="75" t="s">
        <v>129</v>
      </c>
      <c r="D50" s="249" t="s">
        <v>680</v>
      </c>
      <c r="E50" s="248" t="s">
        <v>681</v>
      </c>
      <c r="F50" s="67" t="s">
        <v>486</v>
      </c>
      <c r="G50" s="67">
        <v>100</v>
      </c>
      <c r="H50" s="67" t="s">
        <v>622</v>
      </c>
      <c r="I50" s="69">
        <v>3081.5789473684208</v>
      </c>
      <c r="J50" s="67" t="s">
        <v>487</v>
      </c>
      <c r="K50" s="250">
        <v>118.63562402274199</v>
      </c>
      <c r="L50" s="69">
        <f t="shared" si="0"/>
        <v>3082</v>
      </c>
    </row>
    <row r="51" spans="1:12" x14ac:dyDescent="0.35">
      <c r="A51" s="243" t="s">
        <v>361</v>
      </c>
      <c r="B51" s="62" t="s">
        <v>391</v>
      </c>
      <c r="C51" s="75" t="s">
        <v>129</v>
      </c>
      <c r="D51" s="249" t="s">
        <v>682</v>
      </c>
      <c r="E51" s="248" t="s">
        <v>683</v>
      </c>
      <c r="F51" s="67" t="s">
        <v>486</v>
      </c>
      <c r="G51" s="67">
        <v>100</v>
      </c>
      <c r="H51" s="67" t="s">
        <v>622</v>
      </c>
      <c r="I51" s="69">
        <v>4481.5789473684208</v>
      </c>
      <c r="J51" s="67" t="s">
        <v>487</v>
      </c>
      <c r="K51" s="250">
        <v>176.28481137616899</v>
      </c>
      <c r="L51" s="69">
        <f t="shared" si="0"/>
        <v>4482</v>
      </c>
    </row>
    <row r="52" spans="1:12" x14ac:dyDescent="0.35">
      <c r="A52" s="243" t="s">
        <v>135</v>
      </c>
      <c r="B52" s="62" t="s">
        <v>282</v>
      </c>
      <c r="C52" s="75" t="s">
        <v>129</v>
      </c>
      <c r="D52" s="249" t="s">
        <v>684</v>
      </c>
      <c r="E52" s="248" t="s">
        <v>685</v>
      </c>
      <c r="F52" s="67" t="s">
        <v>486</v>
      </c>
      <c r="G52" s="67">
        <v>50</v>
      </c>
      <c r="H52" s="67" t="s">
        <v>622</v>
      </c>
      <c r="I52" s="69">
        <v>4323.6842105263158</v>
      </c>
      <c r="J52" s="67" t="s">
        <v>487</v>
      </c>
      <c r="K52" s="250">
        <v>153.42940980680001</v>
      </c>
      <c r="L52" s="69">
        <f t="shared" si="0"/>
        <v>4324</v>
      </c>
    </row>
    <row r="53" spans="1:12" x14ac:dyDescent="0.35">
      <c r="A53" s="243" t="s">
        <v>145</v>
      </c>
      <c r="B53" s="62" t="s">
        <v>284</v>
      </c>
      <c r="C53" s="75" t="s">
        <v>129</v>
      </c>
      <c r="D53" s="249" t="s">
        <v>686</v>
      </c>
      <c r="E53" s="248" t="s">
        <v>687</v>
      </c>
      <c r="F53" s="67" t="s">
        <v>486</v>
      </c>
      <c r="G53" s="67">
        <v>50</v>
      </c>
      <c r="H53" s="67" t="s">
        <v>622</v>
      </c>
      <c r="I53" s="69">
        <v>6756.5789473684208</v>
      </c>
      <c r="J53" s="67" t="s">
        <v>487</v>
      </c>
      <c r="K53" s="250">
        <v>231.38322859480002</v>
      </c>
      <c r="L53" s="69">
        <f t="shared" si="0"/>
        <v>6757</v>
      </c>
    </row>
    <row r="54" spans="1:12" x14ac:dyDescent="0.35">
      <c r="A54" s="243" t="s">
        <v>154</v>
      </c>
      <c r="B54" s="62" t="s">
        <v>392</v>
      </c>
      <c r="C54" s="75" t="s">
        <v>129</v>
      </c>
      <c r="D54" s="249" t="s">
        <v>688</v>
      </c>
      <c r="E54" s="248" t="s">
        <v>689</v>
      </c>
      <c r="F54" s="67" t="s">
        <v>486</v>
      </c>
      <c r="G54" s="67">
        <v>50</v>
      </c>
      <c r="H54" s="67" t="s">
        <v>622</v>
      </c>
      <c r="I54" s="69">
        <v>7822.3684210526317</v>
      </c>
      <c r="J54" s="67" t="s">
        <v>487</v>
      </c>
      <c r="K54" s="250">
        <v>309.06121315079997</v>
      </c>
      <c r="L54" s="69">
        <f t="shared" si="0"/>
        <v>7822</v>
      </c>
    </row>
    <row r="55" spans="1:12" x14ac:dyDescent="0.35">
      <c r="A55" s="244" t="s">
        <v>458</v>
      </c>
      <c r="B55" s="62" t="s">
        <v>393</v>
      </c>
      <c r="C55" s="75" t="s">
        <v>129</v>
      </c>
      <c r="D55" s="67" t="s">
        <v>690</v>
      </c>
      <c r="E55" s="248" t="s">
        <v>691</v>
      </c>
      <c r="F55" s="67" t="s">
        <v>486</v>
      </c>
      <c r="G55" s="67">
        <v>100</v>
      </c>
      <c r="H55" s="67" t="s">
        <v>622</v>
      </c>
      <c r="I55" s="69">
        <v>742.10526315789468</v>
      </c>
      <c r="J55" s="67" t="s">
        <v>487</v>
      </c>
      <c r="K55" s="68">
        <v>21.92</v>
      </c>
      <c r="L55" s="69">
        <f t="shared" si="0"/>
        <v>742</v>
      </c>
    </row>
    <row r="56" spans="1:12" ht="16" thickBot="1" x14ac:dyDescent="0.4">
      <c r="A56" s="244" t="s">
        <v>461</v>
      </c>
      <c r="B56" s="62" t="s">
        <v>286</v>
      </c>
      <c r="C56" s="75" t="s">
        <v>129</v>
      </c>
      <c r="D56" s="67" t="s">
        <v>692</v>
      </c>
      <c r="E56" s="248" t="s">
        <v>693</v>
      </c>
      <c r="F56" s="67" t="s">
        <v>486</v>
      </c>
      <c r="G56" s="67">
        <v>100</v>
      </c>
      <c r="H56" s="67" t="s">
        <v>622</v>
      </c>
      <c r="I56" s="69">
        <v>1247.3684210526317</v>
      </c>
      <c r="J56" s="67" t="s">
        <v>487</v>
      </c>
      <c r="K56" s="68">
        <v>36.46</v>
      </c>
      <c r="L56" s="69">
        <f t="shared" si="0"/>
        <v>1247</v>
      </c>
    </row>
    <row r="57" spans="1:12" x14ac:dyDescent="0.35">
      <c r="A57" s="244" t="s">
        <v>459</v>
      </c>
      <c r="B57" s="61">
        <v>0.75</v>
      </c>
      <c r="C57" s="75" t="s">
        <v>129</v>
      </c>
      <c r="D57" s="67" t="s">
        <v>694</v>
      </c>
      <c r="E57" s="248" t="s">
        <v>695</v>
      </c>
      <c r="F57" s="67" t="s">
        <v>486</v>
      </c>
      <c r="G57" s="67">
        <v>100</v>
      </c>
      <c r="H57" s="67" t="s">
        <v>622</v>
      </c>
      <c r="I57" s="69">
        <v>1135.5263157894738</v>
      </c>
      <c r="J57" s="67" t="s">
        <v>487</v>
      </c>
      <c r="K57" s="68">
        <v>32.89</v>
      </c>
      <c r="L57" s="69">
        <f t="shared" si="0"/>
        <v>1136</v>
      </c>
    </row>
    <row r="58" spans="1:12" x14ac:dyDescent="0.35">
      <c r="A58" s="244" t="s">
        <v>462</v>
      </c>
      <c r="B58" s="62">
        <v>1</v>
      </c>
      <c r="C58" s="75" t="s">
        <v>129</v>
      </c>
      <c r="D58" s="67" t="s">
        <v>696</v>
      </c>
      <c r="E58" s="248" t="s">
        <v>697</v>
      </c>
      <c r="F58" s="67" t="s">
        <v>486</v>
      </c>
      <c r="G58" s="67">
        <v>100</v>
      </c>
      <c r="H58" s="67" t="s">
        <v>622</v>
      </c>
      <c r="I58" s="69">
        <v>1663.1578947368421</v>
      </c>
      <c r="J58" s="67" t="s">
        <v>487</v>
      </c>
      <c r="K58" s="68">
        <v>54.71</v>
      </c>
      <c r="L58" s="69">
        <f t="shared" si="0"/>
        <v>1663</v>
      </c>
    </row>
    <row r="59" spans="1:12" x14ac:dyDescent="0.35">
      <c r="A59" s="244" t="s">
        <v>460</v>
      </c>
      <c r="B59" s="62">
        <v>1.5</v>
      </c>
      <c r="C59" s="75" t="s">
        <v>129</v>
      </c>
      <c r="D59" s="67" t="s">
        <v>698</v>
      </c>
      <c r="E59" s="248" t="s">
        <v>699</v>
      </c>
      <c r="F59" s="67" t="s">
        <v>486</v>
      </c>
      <c r="G59" s="67">
        <v>100</v>
      </c>
      <c r="H59" s="67" t="s">
        <v>622</v>
      </c>
      <c r="I59" s="69">
        <v>1469.7368421052631</v>
      </c>
      <c r="J59" s="67" t="s">
        <v>487</v>
      </c>
      <c r="K59" s="68">
        <v>43.72</v>
      </c>
      <c r="L59" s="69">
        <f t="shared" si="0"/>
        <v>1470</v>
      </c>
    </row>
    <row r="60" spans="1:12" x14ac:dyDescent="0.35">
      <c r="A60" s="244" t="s">
        <v>463</v>
      </c>
      <c r="B60" s="62">
        <v>2</v>
      </c>
      <c r="C60" s="75" t="s">
        <v>129</v>
      </c>
      <c r="D60" s="67" t="s">
        <v>700</v>
      </c>
      <c r="E60" s="248" t="s">
        <v>701</v>
      </c>
      <c r="F60" s="67" t="s">
        <v>486</v>
      </c>
      <c r="G60" s="67">
        <v>100</v>
      </c>
      <c r="H60" s="67" t="s">
        <v>622</v>
      </c>
      <c r="I60" s="69">
        <v>2323.6842105263158</v>
      </c>
      <c r="J60" s="67" t="s">
        <v>487</v>
      </c>
      <c r="K60" s="68">
        <v>72.56</v>
      </c>
      <c r="L60" s="69">
        <f t="shared" si="0"/>
        <v>2324</v>
      </c>
    </row>
    <row r="61" spans="1:12" x14ac:dyDescent="0.35">
      <c r="A61" s="243" t="s">
        <v>81</v>
      </c>
      <c r="B61" s="62">
        <v>2.5</v>
      </c>
      <c r="C61" s="75" t="s">
        <v>80</v>
      </c>
      <c r="D61" s="249" t="s">
        <v>702</v>
      </c>
      <c r="E61" s="248" t="s">
        <v>703</v>
      </c>
      <c r="F61" s="67" t="s">
        <v>486</v>
      </c>
      <c r="G61" s="67">
        <v>100</v>
      </c>
      <c r="H61" s="67" t="s">
        <v>622</v>
      </c>
      <c r="I61" s="69">
        <v>217.10526315789474</v>
      </c>
      <c r="J61" s="67" t="s">
        <v>487</v>
      </c>
      <c r="K61" s="250">
        <v>7.4251854255725203</v>
      </c>
      <c r="L61" s="69">
        <f t="shared" si="0"/>
        <v>217</v>
      </c>
    </row>
    <row r="62" spans="1:12" x14ac:dyDescent="0.35">
      <c r="A62" s="243" t="s">
        <v>82</v>
      </c>
      <c r="B62" s="62">
        <v>3</v>
      </c>
      <c r="C62" s="75" t="s">
        <v>80</v>
      </c>
      <c r="D62" s="249" t="s">
        <v>704</v>
      </c>
      <c r="E62" s="248" t="s">
        <v>705</v>
      </c>
      <c r="F62" s="67" t="s">
        <v>486</v>
      </c>
      <c r="G62" s="67">
        <v>100</v>
      </c>
      <c r="H62" s="67" t="s">
        <v>622</v>
      </c>
      <c r="I62" s="69">
        <v>300</v>
      </c>
      <c r="J62" s="67" t="s">
        <v>487</v>
      </c>
      <c r="K62" s="250">
        <v>10.813737700498601</v>
      </c>
      <c r="L62" s="69">
        <f t="shared" si="0"/>
        <v>300</v>
      </c>
    </row>
    <row r="63" spans="1:12" x14ac:dyDescent="0.35">
      <c r="A63" s="243" t="s">
        <v>83</v>
      </c>
      <c r="B63" s="62">
        <v>4</v>
      </c>
      <c r="C63" s="75" t="s">
        <v>80</v>
      </c>
      <c r="D63" s="249" t="s">
        <v>706</v>
      </c>
      <c r="E63" s="248" t="s">
        <v>707</v>
      </c>
      <c r="F63" s="67" t="s">
        <v>486</v>
      </c>
      <c r="G63" s="67">
        <v>100</v>
      </c>
      <c r="H63" s="67" t="s">
        <v>622</v>
      </c>
      <c r="I63" s="69">
        <v>437</v>
      </c>
      <c r="J63" s="67" t="s">
        <v>487</v>
      </c>
      <c r="K63" s="250">
        <v>15.200139388797099</v>
      </c>
      <c r="L63" s="69">
        <f t="shared" si="0"/>
        <v>437</v>
      </c>
    </row>
    <row r="64" spans="1:12" x14ac:dyDescent="0.35">
      <c r="A64" s="243" t="s">
        <v>84</v>
      </c>
      <c r="B64" s="62">
        <v>6</v>
      </c>
      <c r="C64" s="75" t="s">
        <v>80</v>
      </c>
      <c r="D64" s="249" t="s">
        <v>708</v>
      </c>
      <c r="E64" s="248" t="s">
        <v>709</v>
      </c>
      <c r="F64" s="67" t="s">
        <v>486</v>
      </c>
      <c r="G64" s="67">
        <v>100</v>
      </c>
      <c r="H64" s="67" t="s">
        <v>622</v>
      </c>
      <c r="I64" s="69">
        <v>473.68421052631578</v>
      </c>
      <c r="J64" s="67" t="s">
        <v>487</v>
      </c>
      <c r="K64" s="250">
        <v>17.955637065149499</v>
      </c>
      <c r="L64" s="69">
        <f t="shared" si="0"/>
        <v>474</v>
      </c>
    </row>
    <row r="65" spans="1:12" x14ac:dyDescent="0.35">
      <c r="A65" s="243" t="s">
        <v>20</v>
      </c>
      <c r="B65" s="62">
        <v>10</v>
      </c>
      <c r="C65" s="75" t="s">
        <v>80</v>
      </c>
      <c r="D65" s="249" t="s">
        <v>710</v>
      </c>
      <c r="E65" s="248" t="s">
        <v>711</v>
      </c>
      <c r="F65" s="67" t="s">
        <v>486</v>
      </c>
      <c r="G65" s="67">
        <v>100</v>
      </c>
      <c r="H65" s="67" t="s">
        <v>622</v>
      </c>
      <c r="I65" s="69">
        <v>743.42105263157896</v>
      </c>
      <c r="J65" s="67" t="s">
        <v>487</v>
      </c>
      <c r="K65" s="250">
        <v>29.347887162742701</v>
      </c>
      <c r="L65" s="69">
        <f t="shared" si="0"/>
        <v>743</v>
      </c>
    </row>
    <row r="66" spans="1:12" x14ac:dyDescent="0.35">
      <c r="A66" s="243" t="s">
        <v>86</v>
      </c>
      <c r="B66" s="62">
        <v>16</v>
      </c>
      <c r="C66" s="75" t="s">
        <v>80</v>
      </c>
      <c r="D66" s="249" t="s">
        <v>712</v>
      </c>
      <c r="E66" s="248" t="s">
        <v>713</v>
      </c>
      <c r="F66" s="67" t="s">
        <v>486</v>
      </c>
      <c r="G66" s="67">
        <v>100</v>
      </c>
      <c r="H66" s="67" t="s">
        <v>622</v>
      </c>
      <c r="I66" s="69">
        <v>1032.8947368421052</v>
      </c>
      <c r="J66" s="67" t="s">
        <v>487</v>
      </c>
      <c r="K66" s="250">
        <v>43.4439627181699</v>
      </c>
      <c r="L66" s="69">
        <f t="shared" si="0"/>
        <v>1033</v>
      </c>
    </row>
    <row r="67" spans="1:12" x14ac:dyDescent="0.35">
      <c r="A67" s="243" t="s">
        <v>87</v>
      </c>
      <c r="B67" s="62">
        <v>25</v>
      </c>
      <c r="C67" s="75" t="s">
        <v>80</v>
      </c>
      <c r="D67" s="249" t="s">
        <v>714</v>
      </c>
      <c r="E67" s="248" t="s">
        <v>715</v>
      </c>
      <c r="F67" s="67" t="s">
        <v>486</v>
      </c>
      <c r="G67" s="67">
        <v>100</v>
      </c>
      <c r="H67" s="67" t="s">
        <v>622</v>
      </c>
      <c r="I67" s="69">
        <v>1746.0526315789473</v>
      </c>
      <c r="J67" s="67" t="s">
        <v>487</v>
      </c>
      <c r="K67" s="250">
        <v>76.002831918800908</v>
      </c>
      <c r="L67" s="69">
        <f t="shared" si="0"/>
        <v>1746</v>
      </c>
    </row>
    <row r="68" spans="1:12" ht="16" thickBot="1" x14ac:dyDescent="0.4">
      <c r="A68" s="243" t="s">
        <v>88</v>
      </c>
      <c r="B68" s="62">
        <v>35</v>
      </c>
      <c r="C68" s="75" t="s">
        <v>80</v>
      </c>
      <c r="D68" s="249" t="s">
        <v>716</v>
      </c>
      <c r="E68" s="248" t="s">
        <v>717</v>
      </c>
      <c r="F68" s="67" t="s">
        <v>486</v>
      </c>
      <c r="G68" s="67">
        <v>100</v>
      </c>
      <c r="H68" s="67" t="s">
        <v>622</v>
      </c>
      <c r="I68" s="69">
        <v>2787</v>
      </c>
      <c r="J68" s="67" t="s">
        <v>487</v>
      </c>
      <c r="K68" s="250">
        <v>120.6730436</v>
      </c>
      <c r="L68" s="69">
        <f t="shared" si="0"/>
        <v>2787</v>
      </c>
    </row>
    <row r="69" spans="1:12" x14ac:dyDescent="0.35">
      <c r="A69" s="243" t="s">
        <v>89</v>
      </c>
      <c r="B69" s="61" t="s">
        <v>394</v>
      </c>
      <c r="C69" s="75" t="s">
        <v>80</v>
      </c>
      <c r="D69" s="249" t="s">
        <v>718</v>
      </c>
      <c r="E69" s="248" t="s">
        <v>719</v>
      </c>
      <c r="F69" s="67" t="s">
        <v>486</v>
      </c>
      <c r="G69" s="67">
        <v>100</v>
      </c>
      <c r="H69" s="67" t="s">
        <v>622</v>
      </c>
      <c r="I69" s="69">
        <v>4298.6842105263158</v>
      </c>
      <c r="J69" s="67" t="s">
        <v>487</v>
      </c>
      <c r="K69" s="250">
        <v>185.14143950000002</v>
      </c>
      <c r="L69" s="69">
        <f t="shared" si="0"/>
        <v>4299</v>
      </c>
    </row>
    <row r="70" spans="1:12" x14ac:dyDescent="0.35">
      <c r="A70" s="243" t="s">
        <v>90</v>
      </c>
      <c r="B70" s="62" t="s">
        <v>395</v>
      </c>
      <c r="C70" s="75" t="s">
        <v>80</v>
      </c>
      <c r="D70" s="249" t="s">
        <v>720</v>
      </c>
      <c r="E70" s="248" t="s">
        <v>721</v>
      </c>
      <c r="F70" s="67" t="s">
        <v>486</v>
      </c>
      <c r="G70" s="67">
        <v>100</v>
      </c>
      <c r="H70" s="67" t="s">
        <v>622</v>
      </c>
      <c r="I70" s="69">
        <v>5982.894736842105</v>
      </c>
      <c r="J70" s="67" t="s">
        <v>487</v>
      </c>
      <c r="K70" s="250">
        <v>261.51103051068901</v>
      </c>
      <c r="L70" s="69">
        <f t="shared" si="0"/>
        <v>5983</v>
      </c>
    </row>
    <row r="71" spans="1:12" x14ac:dyDescent="0.35">
      <c r="A71" s="243" t="s">
        <v>156</v>
      </c>
      <c r="B71" s="62" t="s">
        <v>384</v>
      </c>
      <c r="C71" s="76" t="s">
        <v>157</v>
      </c>
      <c r="D71" s="249" t="s">
        <v>722</v>
      </c>
      <c r="E71" s="248" t="s">
        <v>394</v>
      </c>
      <c r="F71" s="67" t="s">
        <v>488</v>
      </c>
      <c r="G71" s="67">
        <v>1000</v>
      </c>
      <c r="H71" s="67" t="s">
        <v>624</v>
      </c>
      <c r="I71" s="69">
        <v>1111</v>
      </c>
      <c r="J71" s="67" t="s">
        <v>487</v>
      </c>
      <c r="K71" s="250">
        <v>27.453898015873001</v>
      </c>
      <c r="L71" s="69">
        <f t="shared" si="0"/>
        <v>1111</v>
      </c>
    </row>
    <row r="72" spans="1:12" x14ac:dyDescent="0.35">
      <c r="A72" s="243" t="s">
        <v>159</v>
      </c>
      <c r="B72" s="62" t="s">
        <v>385</v>
      </c>
      <c r="C72" s="76" t="s">
        <v>157</v>
      </c>
      <c r="D72" s="249" t="s">
        <v>723</v>
      </c>
      <c r="E72" s="248" t="s">
        <v>395</v>
      </c>
      <c r="F72" s="67" t="s">
        <v>488</v>
      </c>
      <c r="G72" s="67">
        <v>1000</v>
      </c>
      <c r="H72" s="67" t="s">
        <v>624</v>
      </c>
      <c r="I72" s="69">
        <v>1725</v>
      </c>
      <c r="J72" s="67" t="s">
        <v>487</v>
      </c>
      <c r="K72" s="250">
        <v>43.845429015873002</v>
      </c>
      <c r="L72" s="69">
        <f t="shared" si="0"/>
        <v>1725</v>
      </c>
    </row>
    <row r="73" spans="1:12" x14ac:dyDescent="0.35">
      <c r="A73" s="243" t="s">
        <v>161</v>
      </c>
      <c r="B73" s="62" t="s">
        <v>396</v>
      </c>
      <c r="C73" s="76" t="s">
        <v>157</v>
      </c>
      <c r="D73" s="249" t="s">
        <v>724</v>
      </c>
      <c r="E73" s="248" t="s">
        <v>725</v>
      </c>
      <c r="F73" s="67" t="s">
        <v>488</v>
      </c>
      <c r="G73" s="67">
        <v>1000</v>
      </c>
      <c r="H73" s="67" t="s">
        <v>624</v>
      </c>
      <c r="I73" s="69">
        <v>2338</v>
      </c>
      <c r="J73" s="67" t="s">
        <v>487</v>
      </c>
      <c r="K73" s="250">
        <v>70.127126803580794</v>
      </c>
      <c r="L73" s="69">
        <f t="shared" si="0"/>
        <v>2338</v>
      </c>
    </row>
    <row r="74" spans="1:12" x14ac:dyDescent="0.35">
      <c r="A74" s="243" t="s">
        <v>162</v>
      </c>
      <c r="B74" s="62" t="s">
        <v>397</v>
      </c>
      <c r="C74" s="76" t="s">
        <v>157</v>
      </c>
      <c r="D74" s="249" t="s">
        <v>726</v>
      </c>
      <c r="E74" s="248" t="s">
        <v>727</v>
      </c>
      <c r="F74" s="67" t="s">
        <v>488</v>
      </c>
      <c r="G74" s="67">
        <v>1000</v>
      </c>
      <c r="H74" s="67" t="s">
        <v>624</v>
      </c>
      <c r="I74" s="69">
        <v>3051</v>
      </c>
      <c r="J74" s="67" t="s">
        <v>487</v>
      </c>
      <c r="K74" s="250">
        <v>104.22731236879299</v>
      </c>
      <c r="L74" s="69">
        <f t="shared" si="0"/>
        <v>3051</v>
      </c>
    </row>
    <row r="75" spans="1:12" x14ac:dyDescent="0.35">
      <c r="A75" s="243" t="s">
        <v>163</v>
      </c>
      <c r="B75" s="62" t="s">
        <v>388</v>
      </c>
      <c r="C75" s="76" t="s">
        <v>157</v>
      </c>
      <c r="D75" s="249" t="s">
        <v>728</v>
      </c>
      <c r="E75" s="248" t="s">
        <v>396</v>
      </c>
      <c r="F75" s="67" t="s">
        <v>488</v>
      </c>
      <c r="G75" s="67">
        <v>1000</v>
      </c>
      <c r="H75" s="67" t="s">
        <v>624</v>
      </c>
      <c r="I75" s="69">
        <v>1461</v>
      </c>
      <c r="J75" s="67" t="s">
        <v>487</v>
      </c>
      <c r="K75" s="250">
        <v>41.206561015873</v>
      </c>
      <c r="L75" s="69">
        <f t="shared" ref="L75:L139" si="1">(ROUND(I75,0)*(1+$L$7))</f>
        <v>1461</v>
      </c>
    </row>
    <row r="76" spans="1:12" x14ac:dyDescent="0.35">
      <c r="A76" s="243" t="s">
        <v>18</v>
      </c>
      <c r="B76" s="62" t="s">
        <v>389</v>
      </c>
      <c r="C76" s="76" t="s">
        <v>157</v>
      </c>
      <c r="D76" s="249" t="s">
        <v>729</v>
      </c>
      <c r="E76" s="248" t="s">
        <v>397</v>
      </c>
      <c r="F76" s="67" t="s">
        <v>488</v>
      </c>
      <c r="G76" s="67">
        <v>1000</v>
      </c>
      <c r="H76" s="67" t="s">
        <v>624</v>
      </c>
      <c r="I76" s="69">
        <v>1851</v>
      </c>
      <c r="J76" s="67" t="s">
        <v>487</v>
      </c>
      <c r="K76" s="250">
        <v>65.817373015873002</v>
      </c>
      <c r="L76" s="69">
        <f t="shared" si="1"/>
        <v>1851</v>
      </c>
    </row>
    <row r="77" spans="1:12" x14ac:dyDescent="0.35">
      <c r="A77" s="243" t="s">
        <v>166</v>
      </c>
      <c r="B77" s="62" t="s">
        <v>398</v>
      </c>
      <c r="C77" s="76" t="s">
        <v>157</v>
      </c>
      <c r="D77" s="249" t="s">
        <v>730</v>
      </c>
      <c r="E77" s="248" t="s">
        <v>731</v>
      </c>
      <c r="F77" s="67" t="s">
        <v>488</v>
      </c>
      <c r="G77" s="67">
        <v>1000</v>
      </c>
      <c r="H77" s="67" t="s">
        <v>624</v>
      </c>
      <c r="I77" s="69">
        <v>2817</v>
      </c>
      <c r="J77" s="67" t="s">
        <v>487</v>
      </c>
      <c r="K77" s="250">
        <v>104.30445680358</v>
      </c>
      <c r="L77" s="69">
        <f t="shared" si="1"/>
        <v>2817</v>
      </c>
    </row>
    <row r="78" spans="1:12" x14ac:dyDescent="0.35">
      <c r="A78" s="243" t="s">
        <v>167</v>
      </c>
      <c r="B78" s="62" t="s">
        <v>280</v>
      </c>
      <c r="C78" s="76" t="s">
        <v>157</v>
      </c>
      <c r="D78" s="249" t="s">
        <v>732</v>
      </c>
      <c r="E78" s="248" t="s">
        <v>733</v>
      </c>
      <c r="F78" s="67" t="s">
        <v>488</v>
      </c>
      <c r="G78" s="67">
        <v>1000</v>
      </c>
      <c r="H78" s="67" t="s">
        <v>624</v>
      </c>
      <c r="I78" s="69">
        <v>4134</v>
      </c>
      <c r="J78" s="67" t="s">
        <v>487</v>
      </c>
      <c r="K78" s="250">
        <v>154.819071368793</v>
      </c>
      <c r="L78" s="69">
        <f t="shared" si="1"/>
        <v>4134</v>
      </c>
    </row>
    <row r="79" spans="1:12" x14ac:dyDescent="0.35">
      <c r="A79" s="243" t="s">
        <v>168</v>
      </c>
      <c r="B79" s="62" t="s">
        <v>282</v>
      </c>
      <c r="C79" s="76" t="s">
        <v>157</v>
      </c>
      <c r="D79" s="249" t="s">
        <v>734</v>
      </c>
      <c r="E79" s="248" t="s">
        <v>398</v>
      </c>
      <c r="F79" s="67" t="s">
        <v>488</v>
      </c>
      <c r="G79" s="67">
        <v>1000</v>
      </c>
      <c r="H79" s="67" t="s">
        <v>624</v>
      </c>
      <c r="I79" s="69">
        <v>1914</v>
      </c>
      <c r="J79" s="67" t="s">
        <v>487</v>
      </c>
      <c r="K79" s="250">
        <v>54.995473015873003</v>
      </c>
      <c r="L79" s="69">
        <f t="shared" si="1"/>
        <v>1914</v>
      </c>
    </row>
    <row r="80" spans="1:12" x14ac:dyDescent="0.35">
      <c r="A80" s="243" t="s">
        <v>170</v>
      </c>
      <c r="B80" s="62" t="s">
        <v>284</v>
      </c>
      <c r="C80" s="76" t="s">
        <v>157</v>
      </c>
      <c r="D80" s="249" t="s">
        <v>735</v>
      </c>
      <c r="E80" s="248" t="s">
        <v>280</v>
      </c>
      <c r="F80" s="67" t="s">
        <v>488</v>
      </c>
      <c r="G80" s="67">
        <v>1000</v>
      </c>
      <c r="H80" s="67" t="s">
        <v>624</v>
      </c>
      <c r="I80" s="69">
        <v>2555</v>
      </c>
      <c r="J80" s="67" t="s">
        <v>487</v>
      </c>
      <c r="K80" s="250">
        <v>87.944251015872993</v>
      </c>
      <c r="L80" s="69">
        <f t="shared" si="1"/>
        <v>2555</v>
      </c>
    </row>
    <row r="81" spans="1:12" ht="16" thickBot="1" x14ac:dyDescent="0.4">
      <c r="A81" s="243" t="s">
        <v>172</v>
      </c>
      <c r="B81" s="63" t="s">
        <v>399</v>
      </c>
      <c r="C81" s="76" t="s">
        <v>157</v>
      </c>
      <c r="D81" s="249" t="s">
        <v>736</v>
      </c>
      <c r="E81" s="248" t="s">
        <v>737</v>
      </c>
      <c r="F81" s="67" t="s">
        <v>488</v>
      </c>
      <c r="G81" s="67">
        <v>1000</v>
      </c>
      <c r="H81" s="67" t="s">
        <v>624</v>
      </c>
      <c r="I81" s="69">
        <v>3746</v>
      </c>
      <c r="J81" s="67" t="s">
        <v>487</v>
      </c>
      <c r="K81" s="250">
        <v>139.28628680358</v>
      </c>
      <c r="L81" s="69">
        <f t="shared" si="1"/>
        <v>3746</v>
      </c>
    </row>
    <row r="82" spans="1:12" x14ac:dyDescent="0.35">
      <c r="A82" s="243" t="s">
        <v>173</v>
      </c>
      <c r="B82" s="61" t="s">
        <v>392</v>
      </c>
      <c r="C82" s="76" t="s">
        <v>157</v>
      </c>
      <c r="D82" s="249" t="s">
        <v>738</v>
      </c>
      <c r="E82" s="248" t="s">
        <v>739</v>
      </c>
      <c r="F82" s="67" t="s">
        <v>488</v>
      </c>
      <c r="G82" s="67">
        <v>1000</v>
      </c>
      <c r="H82" s="67" t="s">
        <v>624</v>
      </c>
      <c r="I82" s="69">
        <v>5795</v>
      </c>
      <c r="J82" s="67" t="s">
        <v>487</v>
      </c>
      <c r="K82" s="250">
        <v>206.611376368793</v>
      </c>
      <c r="L82" s="69">
        <f t="shared" si="1"/>
        <v>5795</v>
      </c>
    </row>
    <row r="83" spans="1:12" x14ac:dyDescent="0.35">
      <c r="A83" s="243" t="s">
        <v>230</v>
      </c>
      <c r="B83" s="62" t="s">
        <v>393</v>
      </c>
      <c r="C83" s="76" t="s">
        <v>157</v>
      </c>
      <c r="D83" s="249" t="s">
        <v>740</v>
      </c>
      <c r="E83" s="248" t="s">
        <v>392</v>
      </c>
      <c r="F83" s="67" t="s">
        <v>488</v>
      </c>
      <c r="G83" s="67">
        <v>1000</v>
      </c>
      <c r="H83" s="67" t="s">
        <v>624</v>
      </c>
      <c r="I83" s="69">
        <v>4553</v>
      </c>
      <c r="J83" s="67" t="s">
        <v>363</v>
      </c>
      <c r="K83" s="250">
        <v>173.193236885164</v>
      </c>
      <c r="L83" s="69">
        <f t="shared" si="1"/>
        <v>4553</v>
      </c>
    </row>
    <row r="84" spans="1:12" x14ac:dyDescent="0.35">
      <c r="A84" s="243" t="s">
        <v>841</v>
      </c>
      <c r="B84" s="62" t="s">
        <v>843</v>
      </c>
      <c r="C84" s="76" t="s">
        <v>844</v>
      </c>
      <c r="D84" s="249" t="s">
        <v>842</v>
      </c>
      <c r="E84" s="248" t="s">
        <v>344</v>
      </c>
      <c r="F84" s="67" t="s">
        <v>488</v>
      </c>
      <c r="G84" s="67">
        <v>1000</v>
      </c>
      <c r="H84" s="67" t="s">
        <v>624</v>
      </c>
      <c r="I84" s="69"/>
      <c r="J84" s="67" t="s">
        <v>363</v>
      </c>
      <c r="K84" s="250"/>
      <c r="L84" s="69"/>
    </row>
    <row r="85" spans="1:12" x14ac:dyDescent="0.35">
      <c r="A85" s="243" t="s">
        <v>231</v>
      </c>
      <c r="B85" s="62" t="s">
        <v>400</v>
      </c>
      <c r="C85" s="76" t="s">
        <v>157</v>
      </c>
      <c r="D85" s="249" t="s">
        <v>741</v>
      </c>
      <c r="E85" s="248" t="s">
        <v>393</v>
      </c>
      <c r="F85" s="67" t="s">
        <v>488</v>
      </c>
      <c r="G85" s="67">
        <v>1000</v>
      </c>
      <c r="H85" s="67" t="s">
        <v>624</v>
      </c>
      <c r="I85" s="69">
        <v>6946</v>
      </c>
      <c r="J85" s="67" t="s">
        <v>363</v>
      </c>
      <c r="K85" s="250">
        <v>259.00907688516401</v>
      </c>
      <c r="L85" s="69">
        <f t="shared" si="1"/>
        <v>6946</v>
      </c>
    </row>
    <row r="86" spans="1:12" x14ac:dyDescent="0.35">
      <c r="A86" s="243" t="s">
        <v>232</v>
      </c>
      <c r="B86" s="62" t="s">
        <v>401</v>
      </c>
      <c r="C86" s="76" t="s">
        <v>157</v>
      </c>
      <c r="D86" s="249" t="s">
        <v>742</v>
      </c>
      <c r="E86" s="248" t="s">
        <v>400</v>
      </c>
      <c r="F86" s="67" t="s">
        <v>488</v>
      </c>
      <c r="G86" s="67">
        <v>1000</v>
      </c>
      <c r="H86" s="67" t="s">
        <v>624</v>
      </c>
      <c r="I86" s="69">
        <v>10405</v>
      </c>
      <c r="J86" s="67" t="s">
        <v>363</v>
      </c>
      <c r="K86" s="250">
        <v>414.18099897089502</v>
      </c>
      <c r="L86" s="69">
        <f t="shared" si="1"/>
        <v>10405</v>
      </c>
    </row>
    <row r="87" spans="1:12" x14ac:dyDescent="0.35">
      <c r="A87" s="243" t="s">
        <v>236</v>
      </c>
      <c r="B87" s="62" t="s">
        <v>286</v>
      </c>
      <c r="C87" s="76" t="s">
        <v>157</v>
      </c>
      <c r="D87" s="249" t="s">
        <v>743</v>
      </c>
      <c r="E87" s="248" t="s">
        <v>286</v>
      </c>
      <c r="F87" s="67" t="s">
        <v>488</v>
      </c>
      <c r="G87" s="67">
        <v>1000</v>
      </c>
      <c r="H87" s="67" t="s">
        <v>624</v>
      </c>
      <c r="I87" s="69">
        <v>8471</v>
      </c>
      <c r="J87" s="67" t="s">
        <v>363</v>
      </c>
      <c r="K87" s="250">
        <v>345.444869885164</v>
      </c>
      <c r="L87" s="69">
        <f t="shared" si="1"/>
        <v>8471</v>
      </c>
    </row>
    <row r="88" spans="1:12" x14ac:dyDescent="0.35">
      <c r="A88" s="243" t="s">
        <v>229</v>
      </c>
      <c r="B88" s="62" t="s">
        <v>287</v>
      </c>
      <c r="C88" s="76" t="s">
        <v>157</v>
      </c>
      <c r="D88" s="249" t="s">
        <v>744</v>
      </c>
      <c r="E88" s="248" t="s">
        <v>287</v>
      </c>
      <c r="F88" s="67" t="s">
        <v>488</v>
      </c>
      <c r="G88" s="67">
        <v>1000</v>
      </c>
      <c r="H88" s="67" t="s">
        <v>624</v>
      </c>
      <c r="I88" s="69">
        <v>12866</v>
      </c>
      <c r="J88" s="67" t="s">
        <v>363</v>
      </c>
      <c r="K88" s="250">
        <v>552.12371097089499</v>
      </c>
      <c r="L88" s="69">
        <f t="shared" si="1"/>
        <v>12866</v>
      </c>
    </row>
    <row r="89" spans="1:12" x14ac:dyDescent="0.35">
      <c r="A89" s="243" t="s">
        <v>238</v>
      </c>
      <c r="B89" s="62" t="s">
        <v>289</v>
      </c>
      <c r="C89" s="76" t="s">
        <v>157</v>
      </c>
      <c r="D89" s="249" t="s">
        <v>745</v>
      </c>
      <c r="E89" s="248" t="s">
        <v>289</v>
      </c>
      <c r="F89" s="67" t="s">
        <v>488</v>
      </c>
      <c r="G89" s="67">
        <v>1000</v>
      </c>
      <c r="H89" s="67" t="s">
        <v>624</v>
      </c>
      <c r="I89" s="69">
        <v>20187</v>
      </c>
      <c r="J89" s="67" t="s">
        <v>363</v>
      </c>
      <c r="K89" s="250">
        <v>870.42671856070297</v>
      </c>
      <c r="L89" s="69">
        <f t="shared" si="1"/>
        <v>20187</v>
      </c>
    </row>
    <row r="90" spans="1:12" x14ac:dyDescent="0.35">
      <c r="A90" s="243" t="s">
        <v>228</v>
      </c>
      <c r="B90" s="62" t="s">
        <v>402</v>
      </c>
      <c r="C90" s="76" t="s">
        <v>157</v>
      </c>
      <c r="D90" s="249" t="s">
        <v>746</v>
      </c>
      <c r="E90" s="248" t="s">
        <v>402</v>
      </c>
      <c r="F90" s="67" t="s">
        <v>488</v>
      </c>
      <c r="G90" s="67">
        <v>1000</v>
      </c>
      <c r="H90" s="67" t="s">
        <v>624</v>
      </c>
      <c r="I90" s="69">
        <v>7914</v>
      </c>
      <c r="J90" s="67" t="s">
        <v>363</v>
      </c>
      <c r="K90" s="250">
        <v>310.59642149504799</v>
      </c>
      <c r="L90" s="69">
        <f t="shared" si="1"/>
        <v>7914</v>
      </c>
    </row>
    <row r="91" spans="1:12" x14ac:dyDescent="0.35">
      <c r="A91" s="243" t="s">
        <v>241</v>
      </c>
      <c r="B91" s="62" t="s">
        <v>403</v>
      </c>
      <c r="C91" s="76" t="s">
        <v>157</v>
      </c>
      <c r="D91" s="249" t="s">
        <v>747</v>
      </c>
      <c r="E91" s="248" t="s">
        <v>403</v>
      </c>
      <c r="F91" s="67" t="s">
        <v>488</v>
      </c>
      <c r="G91" s="67">
        <v>1000</v>
      </c>
      <c r="H91" s="67" t="s">
        <v>624</v>
      </c>
      <c r="I91" s="69">
        <v>11874</v>
      </c>
      <c r="J91" s="67" t="s">
        <v>363</v>
      </c>
      <c r="K91" s="250">
        <v>500.30186072670301</v>
      </c>
      <c r="L91" s="69">
        <f t="shared" si="1"/>
        <v>11874</v>
      </c>
    </row>
    <row r="92" spans="1:12" ht="16" thickBot="1" x14ac:dyDescent="0.4">
      <c r="A92" s="243" t="s">
        <v>243</v>
      </c>
      <c r="B92" s="63" t="s">
        <v>404</v>
      </c>
      <c r="C92" s="76" t="s">
        <v>157</v>
      </c>
      <c r="D92" s="249" t="s">
        <v>748</v>
      </c>
      <c r="E92" s="248" t="s">
        <v>404</v>
      </c>
      <c r="F92" s="67" t="s">
        <v>488</v>
      </c>
      <c r="G92" s="67">
        <v>1000</v>
      </c>
      <c r="H92" s="67" t="s">
        <v>624</v>
      </c>
      <c r="I92" s="69">
        <v>18032</v>
      </c>
      <c r="J92" s="67" t="s">
        <v>363</v>
      </c>
      <c r="K92" s="250">
        <v>790.28736821422899</v>
      </c>
      <c r="L92" s="69">
        <f t="shared" si="1"/>
        <v>18032</v>
      </c>
    </row>
    <row r="93" spans="1:12" x14ac:dyDescent="0.35">
      <c r="A93" s="243" t="s">
        <v>251</v>
      </c>
      <c r="B93" s="61" t="s">
        <v>405</v>
      </c>
      <c r="C93" s="77" t="s">
        <v>246</v>
      </c>
      <c r="D93" s="249" t="s">
        <v>749</v>
      </c>
      <c r="E93" s="248" t="s">
        <v>405</v>
      </c>
      <c r="F93" s="67" t="s">
        <v>488</v>
      </c>
      <c r="G93" s="67">
        <v>1000</v>
      </c>
      <c r="H93" s="67" t="s">
        <v>624</v>
      </c>
      <c r="I93" s="69">
        <v>24816</v>
      </c>
      <c r="J93" s="67" t="s">
        <v>363</v>
      </c>
      <c r="K93" s="250">
        <v>1035.2322232230099</v>
      </c>
      <c r="L93" s="69">
        <f t="shared" si="1"/>
        <v>24816</v>
      </c>
    </row>
    <row r="94" spans="1:12" x14ac:dyDescent="0.35">
      <c r="A94" s="243" t="s">
        <v>552</v>
      </c>
      <c r="B94" s="62" t="s">
        <v>406</v>
      </c>
      <c r="C94" s="77" t="s">
        <v>246</v>
      </c>
      <c r="D94" s="249" t="s">
        <v>750</v>
      </c>
      <c r="E94" s="248" t="s">
        <v>406</v>
      </c>
      <c r="F94" s="67" t="s">
        <v>488</v>
      </c>
      <c r="G94" s="67">
        <v>1000</v>
      </c>
      <c r="H94" s="67" t="s">
        <v>624</v>
      </c>
      <c r="I94" s="69">
        <v>37216</v>
      </c>
      <c r="J94" s="67" t="s">
        <v>363</v>
      </c>
      <c r="K94" s="250">
        <v>1451.20398738071</v>
      </c>
      <c r="L94" s="69">
        <f t="shared" si="1"/>
        <v>37216</v>
      </c>
    </row>
    <row r="95" spans="1:12" x14ac:dyDescent="0.35">
      <c r="A95" s="243" t="s">
        <v>252</v>
      </c>
      <c r="B95" s="62" t="s">
        <v>407</v>
      </c>
      <c r="C95" s="77" t="s">
        <v>246</v>
      </c>
      <c r="D95" s="249" t="s">
        <v>751</v>
      </c>
      <c r="E95" s="248" t="s">
        <v>407</v>
      </c>
      <c r="F95" s="67" t="s">
        <v>488</v>
      </c>
      <c r="G95" s="67">
        <v>1000</v>
      </c>
      <c r="H95" s="67" t="s">
        <v>624</v>
      </c>
      <c r="I95" s="69">
        <v>48512</v>
      </c>
      <c r="J95" s="67" t="s">
        <v>363</v>
      </c>
      <c r="K95" s="250">
        <v>2081.44103926155</v>
      </c>
      <c r="L95" s="69">
        <f t="shared" si="1"/>
        <v>48512</v>
      </c>
    </row>
    <row r="96" spans="1:12" x14ac:dyDescent="0.35">
      <c r="A96" s="243" t="s">
        <v>569</v>
      </c>
      <c r="B96" s="62" t="s">
        <v>408</v>
      </c>
      <c r="C96" s="77" t="s">
        <v>246</v>
      </c>
      <c r="D96" s="249" t="s">
        <v>752</v>
      </c>
      <c r="E96" s="248" t="s">
        <v>408</v>
      </c>
      <c r="F96" s="67" t="s">
        <v>488</v>
      </c>
      <c r="G96" s="67">
        <v>1000</v>
      </c>
      <c r="H96" s="67" t="s">
        <v>624</v>
      </c>
      <c r="I96" s="69">
        <v>70803</v>
      </c>
      <c r="J96" s="67" t="s">
        <v>363</v>
      </c>
      <c r="K96" s="250">
        <v>2875.9057558198201</v>
      </c>
      <c r="L96" s="69">
        <f t="shared" si="1"/>
        <v>70803</v>
      </c>
    </row>
    <row r="97" spans="1:12" x14ac:dyDescent="0.35">
      <c r="A97" s="243" t="s">
        <v>256</v>
      </c>
      <c r="B97" s="62" t="s">
        <v>409</v>
      </c>
      <c r="C97" s="77" t="s">
        <v>246</v>
      </c>
      <c r="D97" s="249" t="s">
        <v>753</v>
      </c>
      <c r="E97" s="248" t="s">
        <v>409</v>
      </c>
      <c r="F97" s="67" t="s">
        <v>488</v>
      </c>
      <c r="G97" s="67">
        <v>1000</v>
      </c>
      <c r="H97" s="67" t="s">
        <v>624</v>
      </c>
      <c r="I97" s="252">
        <v>85484</v>
      </c>
      <c r="J97" s="67" t="s">
        <v>363</v>
      </c>
      <c r="K97" s="250">
        <v>3732.4835630000002</v>
      </c>
      <c r="L97" s="69">
        <f t="shared" si="1"/>
        <v>85484</v>
      </c>
    </row>
    <row r="98" spans="1:12" x14ac:dyDescent="0.35">
      <c r="A98" s="243" t="s">
        <v>258</v>
      </c>
      <c r="B98" s="62" t="s">
        <v>410</v>
      </c>
      <c r="C98" s="77" t="s">
        <v>246</v>
      </c>
      <c r="D98" s="249" t="s">
        <v>754</v>
      </c>
      <c r="E98" s="248" t="s">
        <v>410</v>
      </c>
      <c r="F98" s="67" t="s">
        <v>488</v>
      </c>
      <c r="G98" s="67">
        <v>1000</v>
      </c>
      <c r="H98" s="67" t="s">
        <v>624</v>
      </c>
      <c r="I98" s="252">
        <v>102312</v>
      </c>
      <c r="J98" s="67" t="s">
        <v>363</v>
      </c>
      <c r="K98" s="250">
        <v>4460.6977040000002</v>
      </c>
      <c r="L98" s="69">
        <f t="shared" si="1"/>
        <v>102312</v>
      </c>
    </row>
    <row r="99" spans="1:12" x14ac:dyDescent="0.35">
      <c r="A99" s="243" t="s">
        <v>260</v>
      </c>
      <c r="B99" s="62" t="s">
        <v>411</v>
      </c>
      <c r="C99" s="77" t="s">
        <v>246</v>
      </c>
      <c r="D99" s="249" t="s">
        <v>755</v>
      </c>
      <c r="E99" s="248" t="s">
        <v>411</v>
      </c>
      <c r="F99" s="67" t="s">
        <v>488</v>
      </c>
      <c r="G99" s="67">
        <v>1000</v>
      </c>
      <c r="H99" s="67" t="s">
        <v>624</v>
      </c>
      <c r="I99" s="252">
        <v>129528</v>
      </c>
      <c r="J99" s="67" t="s">
        <v>363</v>
      </c>
      <c r="K99" s="250">
        <v>5675.2038169999996</v>
      </c>
      <c r="L99" s="69">
        <f t="shared" si="1"/>
        <v>129528</v>
      </c>
    </row>
    <row r="100" spans="1:12" ht="16" thickBot="1" x14ac:dyDescent="0.4">
      <c r="A100" s="243" t="s">
        <v>262</v>
      </c>
      <c r="B100" s="62" t="s">
        <v>412</v>
      </c>
      <c r="C100" s="77" t="s">
        <v>246</v>
      </c>
      <c r="D100" s="249" t="s">
        <v>756</v>
      </c>
      <c r="E100" s="248" t="s">
        <v>412</v>
      </c>
      <c r="F100" s="67" t="s">
        <v>488</v>
      </c>
      <c r="G100" s="67">
        <v>1000</v>
      </c>
      <c r="H100" s="67" t="s">
        <v>624</v>
      </c>
      <c r="I100" s="252">
        <v>167879</v>
      </c>
      <c r="J100" s="67" t="s">
        <v>363</v>
      </c>
      <c r="K100" s="250">
        <v>7373.7412800000002</v>
      </c>
      <c r="L100" s="69">
        <f t="shared" si="1"/>
        <v>167879</v>
      </c>
    </row>
    <row r="101" spans="1:12" x14ac:dyDescent="0.35">
      <c r="A101" s="243" t="s">
        <v>264</v>
      </c>
      <c r="B101" s="61" t="s">
        <v>413</v>
      </c>
      <c r="C101" s="77" t="s">
        <v>246</v>
      </c>
      <c r="D101" s="249" t="s">
        <v>757</v>
      </c>
      <c r="E101" s="248" t="s">
        <v>413</v>
      </c>
      <c r="F101" s="67" t="s">
        <v>488</v>
      </c>
      <c r="G101" s="67">
        <v>1000</v>
      </c>
      <c r="H101" s="67" t="s">
        <v>624</v>
      </c>
      <c r="I101" s="252">
        <v>27729</v>
      </c>
      <c r="J101" s="67" t="s">
        <v>363</v>
      </c>
      <c r="K101" s="250">
        <v>1196.2062869099</v>
      </c>
      <c r="L101" s="69">
        <f t="shared" si="1"/>
        <v>27729</v>
      </c>
    </row>
    <row r="102" spans="1:12" x14ac:dyDescent="0.35">
      <c r="A102" s="243" t="s">
        <v>471</v>
      </c>
      <c r="B102" s="62" t="s">
        <v>414</v>
      </c>
      <c r="C102" s="77" t="s">
        <v>246</v>
      </c>
      <c r="D102" s="249" t="s">
        <v>758</v>
      </c>
      <c r="E102" s="248" t="s">
        <v>414</v>
      </c>
      <c r="F102" s="67" t="s">
        <v>488</v>
      </c>
      <c r="G102" s="67">
        <v>1000</v>
      </c>
      <c r="H102" s="67" t="s">
        <v>624</v>
      </c>
      <c r="I102" s="252">
        <v>39971</v>
      </c>
      <c r="J102" s="67" t="s">
        <v>363</v>
      </c>
      <c r="K102" s="250">
        <v>1644.9450185793</v>
      </c>
      <c r="L102" s="69">
        <f t="shared" si="1"/>
        <v>39971</v>
      </c>
    </row>
    <row r="103" spans="1:12" x14ac:dyDescent="0.35">
      <c r="A103" s="243" t="s">
        <v>267</v>
      </c>
      <c r="B103" s="62" t="s">
        <v>415</v>
      </c>
      <c r="C103" s="77" t="s">
        <v>246</v>
      </c>
      <c r="D103" s="249" t="s">
        <v>759</v>
      </c>
      <c r="E103" s="248" t="s">
        <v>415</v>
      </c>
      <c r="F103" s="67" t="s">
        <v>488</v>
      </c>
      <c r="G103" s="67">
        <v>1000</v>
      </c>
      <c r="H103" s="67" t="s">
        <v>624</v>
      </c>
      <c r="I103" s="252">
        <v>53789</v>
      </c>
      <c r="J103" s="67" t="s">
        <v>363</v>
      </c>
      <c r="K103" s="250">
        <v>2376.4712079999999</v>
      </c>
      <c r="L103" s="69">
        <f t="shared" si="1"/>
        <v>53789</v>
      </c>
    </row>
    <row r="104" spans="1:12" x14ac:dyDescent="0.35">
      <c r="A104" s="243" t="s">
        <v>269</v>
      </c>
      <c r="B104" s="62" t="s">
        <v>416</v>
      </c>
      <c r="C104" s="77" t="s">
        <v>246</v>
      </c>
      <c r="D104" s="249" t="s">
        <v>760</v>
      </c>
      <c r="E104" s="248" t="s">
        <v>416</v>
      </c>
      <c r="F104" s="67" t="s">
        <v>488</v>
      </c>
      <c r="G104" s="67">
        <v>1000</v>
      </c>
      <c r="H104" s="67" t="s">
        <v>624</v>
      </c>
      <c r="I104" s="252">
        <v>74841</v>
      </c>
      <c r="J104" s="67" t="s">
        <v>363</v>
      </c>
      <c r="K104" s="250">
        <v>3286.491712</v>
      </c>
      <c r="L104" s="69">
        <f t="shared" si="1"/>
        <v>74841</v>
      </c>
    </row>
    <row r="105" spans="1:12" x14ac:dyDescent="0.35">
      <c r="A105" s="243" t="s">
        <v>271</v>
      </c>
      <c r="B105" s="62" t="s">
        <v>417</v>
      </c>
      <c r="C105" s="77" t="s">
        <v>246</v>
      </c>
      <c r="D105" s="249" t="s">
        <v>761</v>
      </c>
      <c r="E105" s="248" t="s">
        <v>417</v>
      </c>
      <c r="F105" s="67" t="s">
        <v>488</v>
      </c>
      <c r="G105" s="67">
        <v>1000</v>
      </c>
      <c r="H105" s="67" t="s">
        <v>624</v>
      </c>
      <c r="I105" s="252">
        <v>93547</v>
      </c>
      <c r="J105" s="67" t="s">
        <v>363</v>
      </c>
      <c r="K105" s="250">
        <v>4184.7461199999998</v>
      </c>
      <c r="L105" s="69">
        <f t="shared" si="1"/>
        <v>93547</v>
      </c>
    </row>
    <row r="106" spans="1:12" x14ac:dyDescent="0.35">
      <c r="A106" s="243" t="s">
        <v>266</v>
      </c>
      <c r="B106" s="62" t="s">
        <v>418</v>
      </c>
      <c r="C106" s="77" t="s">
        <v>246</v>
      </c>
      <c r="D106" s="249" t="s">
        <v>762</v>
      </c>
      <c r="E106" s="248" t="s">
        <v>418</v>
      </c>
      <c r="F106" s="67" t="s">
        <v>488</v>
      </c>
      <c r="G106" s="67">
        <v>1000</v>
      </c>
      <c r="H106" s="67" t="s">
        <v>624</v>
      </c>
      <c r="I106" s="252">
        <v>114992</v>
      </c>
      <c r="J106" s="67" t="s">
        <v>363</v>
      </c>
      <c r="K106" s="250">
        <v>5155.6369000000004</v>
      </c>
      <c r="L106" s="69">
        <f t="shared" si="1"/>
        <v>114992</v>
      </c>
    </row>
    <row r="107" spans="1:12" x14ac:dyDescent="0.35">
      <c r="A107" s="243" t="s">
        <v>274</v>
      </c>
      <c r="B107" s="62" t="s">
        <v>419</v>
      </c>
      <c r="C107" s="77" t="s">
        <v>246</v>
      </c>
      <c r="D107" s="249" t="s">
        <v>763</v>
      </c>
      <c r="E107" s="248" t="s">
        <v>419</v>
      </c>
      <c r="F107" s="67" t="s">
        <v>488</v>
      </c>
      <c r="G107" s="67">
        <v>1000</v>
      </c>
      <c r="H107" s="67" t="s">
        <v>624</v>
      </c>
      <c r="I107" s="252">
        <v>143724</v>
      </c>
      <c r="J107" s="67" t="s">
        <v>363</v>
      </c>
      <c r="K107" s="250">
        <v>6471.7577999999994</v>
      </c>
      <c r="L107" s="69">
        <f t="shared" si="1"/>
        <v>143724</v>
      </c>
    </row>
    <row r="108" spans="1:12" ht="16" thickBot="1" x14ac:dyDescent="0.4">
      <c r="A108" s="243" t="s">
        <v>276</v>
      </c>
      <c r="B108" s="62" t="s">
        <v>420</v>
      </c>
      <c r="C108" s="77" t="s">
        <v>246</v>
      </c>
      <c r="D108" s="249" t="s">
        <v>764</v>
      </c>
      <c r="E108" s="248" t="s">
        <v>420</v>
      </c>
      <c r="F108" s="67" t="s">
        <v>488</v>
      </c>
      <c r="G108" s="67">
        <v>1000</v>
      </c>
      <c r="H108" s="67" t="s">
        <v>624</v>
      </c>
      <c r="I108" s="252">
        <v>189996</v>
      </c>
      <c r="J108" s="67" t="s">
        <v>363</v>
      </c>
      <c r="K108" s="250">
        <v>8436.0401000000002</v>
      </c>
      <c r="L108" s="69">
        <f t="shared" si="1"/>
        <v>189996</v>
      </c>
    </row>
    <row r="109" spans="1:12" x14ac:dyDescent="0.35">
      <c r="A109" s="243" t="s">
        <v>290</v>
      </c>
      <c r="B109" s="61" t="s">
        <v>413</v>
      </c>
      <c r="C109" s="77" t="s">
        <v>279</v>
      </c>
      <c r="D109" s="253" t="s">
        <v>765</v>
      </c>
      <c r="E109" s="253" t="s">
        <v>413</v>
      </c>
      <c r="F109" s="254" t="s">
        <v>488</v>
      </c>
      <c r="G109" s="254">
        <v>1000</v>
      </c>
      <c r="H109" s="254" t="s">
        <v>624</v>
      </c>
      <c r="I109" s="255">
        <v>28211</v>
      </c>
      <c r="J109" s="254" t="s">
        <v>363</v>
      </c>
      <c r="K109" s="254">
        <v>1196.2062869099</v>
      </c>
      <c r="L109" s="69">
        <f t="shared" si="1"/>
        <v>28211</v>
      </c>
    </row>
    <row r="110" spans="1:12" x14ac:dyDescent="0.35">
      <c r="A110" s="243" t="s">
        <v>473</v>
      </c>
      <c r="B110" s="62" t="s">
        <v>414</v>
      </c>
      <c r="C110" s="77" t="s">
        <v>279</v>
      </c>
      <c r="D110" s="249" t="s">
        <v>766</v>
      </c>
      <c r="E110" s="248" t="s">
        <v>414</v>
      </c>
      <c r="F110" s="67" t="s">
        <v>488</v>
      </c>
      <c r="G110" s="67">
        <v>1000</v>
      </c>
      <c r="H110" s="67" t="s">
        <v>624</v>
      </c>
      <c r="I110" s="69">
        <v>40671</v>
      </c>
      <c r="J110" s="67" t="s">
        <v>363</v>
      </c>
      <c r="K110" s="250">
        <v>1644.9450185793</v>
      </c>
      <c r="L110" s="69">
        <f t="shared" si="1"/>
        <v>40671</v>
      </c>
    </row>
    <row r="111" spans="1:12" x14ac:dyDescent="0.35">
      <c r="A111" s="243" t="s">
        <v>293</v>
      </c>
      <c r="B111" s="62" t="s">
        <v>415</v>
      </c>
      <c r="C111" s="77" t="s">
        <v>279</v>
      </c>
      <c r="D111" s="249" t="s">
        <v>767</v>
      </c>
      <c r="E111" s="248" t="s">
        <v>416</v>
      </c>
      <c r="F111" s="67" t="s">
        <v>488</v>
      </c>
      <c r="G111" s="67">
        <v>1000</v>
      </c>
      <c r="H111" s="67" t="s">
        <v>624</v>
      </c>
      <c r="I111" s="69">
        <v>76138</v>
      </c>
      <c r="J111" s="67" t="s">
        <v>363</v>
      </c>
      <c r="K111" s="250">
        <v>3286.1632599999998</v>
      </c>
      <c r="L111" s="69">
        <f t="shared" si="1"/>
        <v>76138</v>
      </c>
    </row>
    <row r="112" spans="1:12" x14ac:dyDescent="0.35">
      <c r="A112" s="243" t="s">
        <v>294</v>
      </c>
      <c r="B112" s="62" t="s">
        <v>416</v>
      </c>
      <c r="C112" s="77" t="s">
        <v>279</v>
      </c>
      <c r="D112" s="253" t="s">
        <v>768</v>
      </c>
      <c r="E112" s="253" t="s">
        <v>417</v>
      </c>
      <c r="F112" s="254" t="s">
        <v>488</v>
      </c>
      <c r="G112" s="254">
        <v>1000</v>
      </c>
      <c r="H112" s="254" t="s">
        <v>624</v>
      </c>
      <c r="I112" s="255">
        <v>95166</v>
      </c>
      <c r="J112" s="254" t="s">
        <v>363</v>
      </c>
      <c r="K112" s="254">
        <v>4184.32798</v>
      </c>
      <c r="L112" s="69">
        <f t="shared" si="1"/>
        <v>95166</v>
      </c>
    </row>
    <row r="113" spans="1:12" x14ac:dyDescent="0.35">
      <c r="A113" s="243" t="s">
        <v>291</v>
      </c>
      <c r="B113" s="62" t="s">
        <v>417</v>
      </c>
      <c r="C113" s="77" t="s">
        <v>279</v>
      </c>
      <c r="D113" s="249" t="s">
        <v>769</v>
      </c>
      <c r="E113" s="248" t="s">
        <v>418</v>
      </c>
      <c r="F113" s="67" t="s">
        <v>488</v>
      </c>
      <c r="G113" s="67">
        <v>1000</v>
      </c>
      <c r="H113" s="67" t="s">
        <v>624</v>
      </c>
      <c r="I113" s="69">
        <v>116980</v>
      </c>
      <c r="J113" s="67" t="s">
        <v>363</v>
      </c>
      <c r="K113" s="250">
        <v>5155.1217999999999</v>
      </c>
      <c r="L113" s="69">
        <f t="shared" si="1"/>
        <v>116980</v>
      </c>
    </row>
    <row r="114" spans="1:12" x14ac:dyDescent="0.35">
      <c r="A114" s="243" t="s">
        <v>296</v>
      </c>
      <c r="B114" s="62" t="s">
        <v>418</v>
      </c>
      <c r="C114" s="77" t="s">
        <v>279</v>
      </c>
      <c r="D114" s="249" t="s">
        <v>770</v>
      </c>
      <c r="E114" s="248" t="s">
        <v>420</v>
      </c>
      <c r="F114" s="67" t="s">
        <v>488</v>
      </c>
      <c r="G114" s="67">
        <v>1000</v>
      </c>
      <c r="H114" s="67" t="s">
        <v>624</v>
      </c>
      <c r="I114" s="69">
        <v>193288</v>
      </c>
      <c r="J114" s="67" t="s">
        <v>363</v>
      </c>
      <c r="K114" s="250">
        <v>8436.0401000000002</v>
      </c>
      <c r="L114" s="69">
        <f t="shared" si="1"/>
        <v>193288</v>
      </c>
    </row>
    <row r="115" spans="1:12" x14ac:dyDescent="0.35">
      <c r="A115" s="243" t="s">
        <v>176</v>
      </c>
      <c r="B115" s="62" t="s">
        <v>419</v>
      </c>
      <c r="C115" s="74" t="s">
        <v>177</v>
      </c>
      <c r="D115" s="249" t="s">
        <v>771</v>
      </c>
      <c r="E115" s="248" t="s">
        <v>421</v>
      </c>
      <c r="F115" s="67" t="s">
        <v>486</v>
      </c>
      <c r="G115" s="67">
        <v>100</v>
      </c>
      <c r="H115" s="67" t="s">
        <v>624</v>
      </c>
      <c r="I115" s="69">
        <v>205.26315789473685</v>
      </c>
      <c r="J115" s="67" t="s">
        <v>363</v>
      </c>
      <c r="K115" s="250">
        <v>5.1001620000000001</v>
      </c>
      <c r="L115" s="69">
        <f t="shared" si="1"/>
        <v>205</v>
      </c>
    </row>
    <row r="116" spans="1:12" ht="16" thickBot="1" x14ac:dyDescent="0.4">
      <c r="A116" s="243" t="s">
        <v>179</v>
      </c>
      <c r="B116" s="62" t="s">
        <v>420</v>
      </c>
      <c r="C116" s="74" t="s">
        <v>177</v>
      </c>
      <c r="D116" s="249" t="s">
        <v>772</v>
      </c>
      <c r="E116" s="248" t="s">
        <v>422</v>
      </c>
      <c r="F116" s="67" t="s">
        <v>486</v>
      </c>
      <c r="G116" s="67">
        <v>100</v>
      </c>
      <c r="H116" s="67" t="s">
        <v>624</v>
      </c>
      <c r="I116" s="69">
        <v>344.73684210526318</v>
      </c>
      <c r="J116" s="67" t="s">
        <v>363</v>
      </c>
      <c r="K116" s="250">
        <v>8.7109109999999994</v>
      </c>
      <c r="L116" s="69">
        <f t="shared" si="1"/>
        <v>345</v>
      </c>
    </row>
    <row r="117" spans="1:12" x14ac:dyDescent="0.35">
      <c r="A117" s="243" t="s">
        <v>181</v>
      </c>
      <c r="B117" s="61" t="s">
        <v>421</v>
      </c>
      <c r="C117" s="74" t="s">
        <v>177</v>
      </c>
      <c r="D117" s="249" t="s">
        <v>773</v>
      </c>
      <c r="E117" s="248" t="s">
        <v>423</v>
      </c>
      <c r="F117" s="67" t="s">
        <v>486</v>
      </c>
      <c r="G117" s="67">
        <v>100</v>
      </c>
      <c r="H117" s="67" t="s">
        <v>624</v>
      </c>
      <c r="I117" s="69">
        <v>482.89473684210526</v>
      </c>
      <c r="J117" s="67" t="s">
        <v>363</v>
      </c>
      <c r="K117" s="250">
        <v>12.096185999999999</v>
      </c>
      <c r="L117" s="69">
        <f t="shared" si="1"/>
        <v>483</v>
      </c>
    </row>
    <row r="118" spans="1:12" x14ac:dyDescent="0.35">
      <c r="A118" s="243" t="s">
        <v>183</v>
      </c>
      <c r="B118" s="62" t="s">
        <v>422</v>
      </c>
      <c r="C118" s="74" t="s">
        <v>177</v>
      </c>
      <c r="D118" s="249" t="s">
        <v>774</v>
      </c>
      <c r="E118" s="248" t="s">
        <v>424</v>
      </c>
      <c r="F118" s="67" t="s">
        <v>486</v>
      </c>
      <c r="G118" s="67">
        <v>100</v>
      </c>
      <c r="H118" s="67" t="s">
        <v>624</v>
      </c>
      <c r="I118" s="69">
        <v>553.9473684210526</v>
      </c>
      <c r="J118" s="67" t="s">
        <v>363</v>
      </c>
      <c r="K118" s="250">
        <v>15.567212</v>
      </c>
      <c r="L118" s="69">
        <f t="shared" si="1"/>
        <v>554</v>
      </c>
    </row>
    <row r="119" spans="1:12" x14ac:dyDescent="0.35">
      <c r="A119" s="243" t="s">
        <v>185</v>
      </c>
      <c r="B119" s="62" t="s">
        <v>423</v>
      </c>
      <c r="C119" s="74" t="s">
        <v>177</v>
      </c>
      <c r="D119" s="249" t="s">
        <v>775</v>
      </c>
      <c r="E119" s="248" t="s">
        <v>425</v>
      </c>
      <c r="F119" s="67" t="s">
        <v>486</v>
      </c>
      <c r="G119" s="67">
        <v>100</v>
      </c>
      <c r="H119" s="67" t="s">
        <v>624</v>
      </c>
      <c r="I119" s="69">
        <v>713.15789473684208</v>
      </c>
      <c r="J119" s="67" t="s">
        <v>363</v>
      </c>
      <c r="K119" s="250">
        <v>18.921965</v>
      </c>
      <c r="L119" s="69">
        <f t="shared" si="1"/>
        <v>713</v>
      </c>
    </row>
    <row r="120" spans="1:12" x14ac:dyDescent="0.35">
      <c r="A120" s="243" t="s">
        <v>187</v>
      </c>
      <c r="B120" s="62" t="s">
        <v>424</v>
      </c>
      <c r="C120" s="74" t="s">
        <v>177</v>
      </c>
      <c r="D120" s="249" t="s">
        <v>776</v>
      </c>
      <c r="E120" s="248" t="s">
        <v>426</v>
      </c>
      <c r="F120" s="67" t="s">
        <v>486</v>
      </c>
      <c r="G120" s="67">
        <v>100</v>
      </c>
      <c r="H120" s="67" t="s">
        <v>624</v>
      </c>
      <c r="I120" s="69">
        <v>828.9473684210526</v>
      </c>
      <c r="J120" s="67" t="s">
        <v>363</v>
      </c>
      <c r="K120" s="250">
        <v>22.363806</v>
      </c>
      <c r="L120" s="69">
        <f t="shared" si="1"/>
        <v>829</v>
      </c>
    </row>
    <row r="121" spans="1:12" x14ac:dyDescent="0.35">
      <c r="A121" s="243" t="s">
        <v>191</v>
      </c>
      <c r="B121" s="62" t="s">
        <v>425</v>
      </c>
      <c r="C121" s="74" t="s">
        <v>177</v>
      </c>
      <c r="D121" s="249" t="s">
        <v>777</v>
      </c>
      <c r="E121" s="248" t="s">
        <v>428</v>
      </c>
      <c r="F121" s="67" t="s">
        <v>486</v>
      </c>
      <c r="G121" s="67">
        <v>100</v>
      </c>
      <c r="H121" s="67" t="s">
        <v>624</v>
      </c>
      <c r="I121" s="69">
        <v>1040.7894736842104</v>
      </c>
      <c r="J121" s="67" t="s">
        <v>363</v>
      </c>
      <c r="K121" s="250">
        <v>29.237804000000001</v>
      </c>
      <c r="L121" s="69">
        <f t="shared" si="1"/>
        <v>1041</v>
      </c>
    </row>
    <row r="122" spans="1:12" x14ac:dyDescent="0.35">
      <c r="A122" s="243" t="s">
        <v>193</v>
      </c>
      <c r="B122" s="62" t="s">
        <v>426</v>
      </c>
      <c r="C122" s="74" t="s">
        <v>177</v>
      </c>
      <c r="D122" s="249" t="s">
        <v>778</v>
      </c>
      <c r="E122" s="248" t="s">
        <v>429</v>
      </c>
      <c r="F122" s="67" t="s">
        <v>486</v>
      </c>
      <c r="G122" s="67">
        <v>100</v>
      </c>
      <c r="H122" s="67" t="s">
        <v>624</v>
      </c>
      <c r="I122" s="69">
        <v>1284.2105263157894</v>
      </c>
      <c r="J122" s="67" t="s">
        <v>363</v>
      </c>
      <c r="K122" s="250">
        <v>36.130911000000005</v>
      </c>
      <c r="L122" s="69">
        <f t="shared" si="1"/>
        <v>1284</v>
      </c>
    </row>
    <row r="123" spans="1:12" x14ac:dyDescent="0.35">
      <c r="A123" s="243" t="s">
        <v>195</v>
      </c>
      <c r="B123" s="62" t="s">
        <v>427</v>
      </c>
      <c r="C123" s="74" t="s">
        <v>177</v>
      </c>
      <c r="D123" s="249" t="s">
        <v>779</v>
      </c>
      <c r="E123" s="248" t="s">
        <v>430</v>
      </c>
      <c r="F123" s="67" t="s">
        <v>486</v>
      </c>
      <c r="G123" s="67">
        <v>100</v>
      </c>
      <c r="H123" s="67" t="s">
        <v>624</v>
      </c>
      <c r="I123" s="69">
        <v>1998.6842105263158</v>
      </c>
      <c r="J123" s="67" t="s">
        <v>363</v>
      </c>
      <c r="K123" s="250">
        <v>53.216166000000001</v>
      </c>
      <c r="L123" s="69">
        <f t="shared" si="1"/>
        <v>1999</v>
      </c>
    </row>
    <row r="124" spans="1:12" x14ac:dyDescent="0.35">
      <c r="A124" s="243" t="s">
        <v>197</v>
      </c>
      <c r="B124" s="62" t="s">
        <v>428</v>
      </c>
      <c r="C124" s="74" t="s">
        <v>177</v>
      </c>
      <c r="D124" s="249" t="s">
        <v>780</v>
      </c>
      <c r="E124" s="248" t="s">
        <v>431</v>
      </c>
      <c r="F124" s="67" t="s">
        <v>486</v>
      </c>
      <c r="G124" s="67">
        <v>100</v>
      </c>
      <c r="H124" s="67" t="s">
        <v>624</v>
      </c>
      <c r="I124" s="69">
        <v>2564.4736842105262</v>
      </c>
      <c r="J124" s="67" t="s">
        <v>363</v>
      </c>
      <c r="K124" s="250">
        <v>70.369878</v>
      </c>
      <c r="L124" s="69">
        <f t="shared" si="1"/>
        <v>2564</v>
      </c>
    </row>
    <row r="125" spans="1:12" x14ac:dyDescent="0.35">
      <c r="A125" s="243" t="s">
        <v>496</v>
      </c>
      <c r="B125" s="62" t="s">
        <v>429</v>
      </c>
      <c r="C125" s="74" t="s">
        <v>177</v>
      </c>
      <c r="D125" s="249" t="s">
        <v>781</v>
      </c>
      <c r="E125" s="248" t="s">
        <v>434</v>
      </c>
      <c r="F125" s="67" t="s">
        <v>488</v>
      </c>
      <c r="G125" s="67">
        <v>1000</v>
      </c>
      <c r="H125" s="67" t="s">
        <v>624</v>
      </c>
      <c r="I125" s="69">
        <v>6394.7368421052633</v>
      </c>
      <c r="J125" s="67" t="s">
        <v>363</v>
      </c>
      <c r="K125" s="250">
        <v>176.95544799999999</v>
      </c>
      <c r="L125" s="69">
        <f t="shared" si="1"/>
        <v>6395</v>
      </c>
    </row>
    <row r="126" spans="1:12" x14ac:dyDescent="0.35">
      <c r="A126" s="243" t="s">
        <v>205</v>
      </c>
      <c r="B126" s="62" t="s">
        <v>430</v>
      </c>
      <c r="C126" s="74" t="s">
        <v>490</v>
      </c>
      <c r="D126" s="249" t="s">
        <v>782</v>
      </c>
      <c r="E126" s="248" t="s">
        <v>436</v>
      </c>
      <c r="F126" s="67" t="s">
        <v>486</v>
      </c>
      <c r="G126" s="67">
        <v>100</v>
      </c>
      <c r="H126" s="67" t="s">
        <v>624</v>
      </c>
      <c r="I126" s="69">
        <v>296.05263157894734</v>
      </c>
      <c r="J126" s="67" t="s">
        <v>363</v>
      </c>
      <c r="K126" s="250">
        <v>8.5273500000000002</v>
      </c>
      <c r="L126" s="69">
        <f t="shared" si="1"/>
        <v>296</v>
      </c>
    </row>
    <row r="127" spans="1:12" x14ac:dyDescent="0.35">
      <c r="A127" s="244" t="s">
        <v>214</v>
      </c>
      <c r="B127" s="62" t="s">
        <v>431</v>
      </c>
      <c r="C127" s="87" t="s">
        <v>212</v>
      </c>
      <c r="D127" s="248" t="s">
        <v>783</v>
      </c>
      <c r="E127" s="248">
        <v>50</v>
      </c>
      <c r="F127" s="67" t="s">
        <v>784</v>
      </c>
      <c r="G127" s="67"/>
      <c r="H127" s="67" t="s">
        <v>624</v>
      </c>
      <c r="I127" s="69">
        <v>10453.947368421053</v>
      </c>
      <c r="J127" s="67" t="s">
        <v>363</v>
      </c>
      <c r="K127" s="68">
        <v>407.048</v>
      </c>
      <c r="L127" s="69">
        <f t="shared" si="1"/>
        <v>10454</v>
      </c>
    </row>
    <row r="128" spans="1:12" x14ac:dyDescent="0.35">
      <c r="A128" s="244" t="s">
        <v>215</v>
      </c>
      <c r="B128" s="62" t="s">
        <v>432</v>
      </c>
      <c r="C128" s="87" t="s">
        <v>212</v>
      </c>
      <c r="D128" s="248" t="s">
        <v>785</v>
      </c>
      <c r="E128" s="248">
        <v>70</v>
      </c>
      <c r="F128" s="67" t="s">
        <v>784</v>
      </c>
      <c r="G128" s="67"/>
      <c r="H128" s="67" t="s">
        <v>624</v>
      </c>
      <c r="I128" s="69">
        <v>14484.21052631579</v>
      </c>
      <c r="J128" s="67" t="s">
        <v>363</v>
      </c>
      <c r="K128" s="68">
        <v>585.68399999999997</v>
      </c>
      <c r="L128" s="69">
        <f t="shared" si="1"/>
        <v>14484</v>
      </c>
    </row>
    <row r="129" spans="1:12" x14ac:dyDescent="0.35">
      <c r="A129" s="244" t="s">
        <v>216</v>
      </c>
      <c r="B129" s="62" t="s">
        <v>433</v>
      </c>
      <c r="C129" s="87" t="s">
        <v>212</v>
      </c>
      <c r="D129" s="248" t="s">
        <v>786</v>
      </c>
      <c r="E129" s="248">
        <v>95</v>
      </c>
      <c r="F129" s="67" t="s">
        <v>784</v>
      </c>
      <c r="G129" s="67"/>
      <c r="H129" s="67" t="s">
        <v>624</v>
      </c>
      <c r="I129" s="69">
        <v>20073.684210526317</v>
      </c>
      <c r="J129" s="67" t="s">
        <v>363</v>
      </c>
      <c r="K129" s="68">
        <v>811.71100000000001</v>
      </c>
      <c r="L129" s="69">
        <f t="shared" si="1"/>
        <v>20074</v>
      </c>
    </row>
    <row r="130" spans="1:12" x14ac:dyDescent="0.35">
      <c r="A130" s="244" t="s">
        <v>217</v>
      </c>
      <c r="B130" s="62" t="s">
        <v>434</v>
      </c>
      <c r="C130" s="87" t="s">
        <v>212</v>
      </c>
      <c r="D130" s="248" t="s">
        <v>787</v>
      </c>
      <c r="E130" s="248">
        <v>120</v>
      </c>
      <c r="F130" s="67" t="s">
        <v>784</v>
      </c>
      <c r="G130" s="67"/>
      <c r="H130" s="67" t="s">
        <v>624</v>
      </c>
      <c r="I130" s="69">
        <v>25173.684210526317</v>
      </c>
      <c r="J130" s="67" t="s">
        <v>363</v>
      </c>
      <c r="K130" s="68">
        <v>1031.27</v>
      </c>
      <c r="L130" s="69">
        <f t="shared" si="1"/>
        <v>25174</v>
      </c>
    </row>
    <row r="131" spans="1:12" ht="16" thickBot="1" x14ac:dyDescent="0.4">
      <c r="A131" s="244" t="s">
        <v>218</v>
      </c>
      <c r="B131" s="62" t="s">
        <v>435</v>
      </c>
      <c r="C131" s="87" t="s">
        <v>212</v>
      </c>
      <c r="D131" s="248" t="s">
        <v>788</v>
      </c>
      <c r="E131" s="248">
        <v>150</v>
      </c>
      <c r="F131" s="67" t="s">
        <v>784</v>
      </c>
      <c r="G131" s="67"/>
      <c r="H131" s="67" t="s">
        <v>624</v>
      </c>
      <c r="I131" s="69">
        <v>31759.21052631579</v>
      </c>
      <c r="J131" s="67" t="s">
        <v>363</v>
      </c>
      <c r="K131" s="68">
        <v>1271.277</v>
      </c>
      <c r="L131" s="69">
        <f t="shared" si="1"/>
        <v>31759</v>
      </c>
    </row>
    <row r="132" spans="1:12" x14ac:dyDescent="0.35">
      <c r="A132" s="244" t="s">
        <v>219</v>
      </c>
      <c r="B132" s="82" t="s">
        <v>436</v>
      </c>
      <c r="C132" s="87" t="s">
        <v>212</v>
      </c>
      <c r="D132" s="248" t="s">
        <v>789</v>
      </c>
      <c r="E132" s="248">
        <v>185</v>
      </c>
      <c r="F132" s="67" t="s">
        <v>784</v>
      </c>
      <c r="G132" s="67"/>
      <c r="H132" s="67" t="s">
        <v>624</v>
      </c>
      <c r="I132" s="69">
        <v>39511.84210526316</v>
      </c>
      <c r="J132" s="67" t="s">
        <v>363</v>
      </c>
      <c r="K132" s="68">
        <v>1577.1580000000001</v>
      </c>
      <c r="L132" s="69">
        <f t="shared" si="1"/>
        <v>39512</v>
      </c>
    </row>
    <row r="133" spans="1:12" ht="16" thickBot="1" x14ac:dyDescent="0.4">
      <c r="A133" s="244" t="s">
        <v>220</v>
      </c>
      <c r="B133" s="62"/>
      <c r="C133" s="87" t="s">
        <v>212</v>
      </c>
      <c r="D133" s="248" t="s">
        <v>790</v>
      </c>
      <c r="E133" s="248">
        <v>240</v>
      </c>
      <c r="F133" s="67" t="s">
        <v>784</v>
      </c>
      <c r="G133" s="67"/>
      <c r="H133" s="67" t="s">
        <v>624</v>
      </c>
      <c r="I133" s="69">
        <v>51050</v>
      </c>
      <c r="J133" s="67" t="s">
        <v>363</v>
      </c>
      <c r="K133" s="68">
        <v>2062.2060000000001</v>
      </c>
      <c r="L133" s="69">
        <f t="shared" si="1"/>
        <v>51050</v>
      </c>
    </row>
    <row r="134" spans="1:12" x14ac:dyDescent="0.35">
      <c r="A134" s="244" t="s">
        <v>221</v>
      </c>
      <c r="B134" s="82"/>
      <c r="C134" s="88" t="s">
        <v>80</v>
      </c>
      <c r="D134" s="248" t="s">
        <v>791</v>
      </c>
      <c r="E134" s="248" t="s">
        <v>792</v>
      </c>
      <c r="F134" s="67" t="s">
        <v>784</v>
      </c>
      <c r="G134" s="67"/>
      <c r="H134" s="67" t="s">
        <v>624</v>
      </c>
      <c r="I134" s="69">
        <v>10785.526315789473</v>
      </c>
      <c r="J134" s="67" t="s">
        <v>363</v>
      </c>
      <c r="K134" s="68">
        <v>414.18200000000002</v>
      </c>
      <c r="L134" s="69">
        <f t="shared" si="1"/>
        <v>10786</v>
      </c>
    </row>
    <row r="135" spans="1:12" ht="16" thickBot="1" x14ac:dyDescent="0.4">
      <c r="A135" s="244" t="s">
        <v>222</v>
      </c>
      <c r="B135" s="83"/>
      <c r="C135" s="88" t="s">
        <v>80</v>
      </c>
      <c r="D135" s="248" t="s">
        <v>793</v>
      </c>
      <c r="E135" s="248" t="s">
        <v>794</v>
      </c>
      <c r="F135" s="67" t="s">
        <v>784</v>
      </c>
      <c r="G135" s="67"/>
      <c r="H135" s="67" t="s">
        <v>624</v>
      </c>
      <c r="I135" s="69">
        <v>15247.368421052632</v>
      </c>
      <c r="J135" s="67" t="s">
        <v>363</v>
      </c>
      <c r="K135" s="68">
        <v>595.16100000000006</v>
      </c>
      <c r="L135" s="69">
        <f t="shared" si="1"/>
        <v>15247</v>
      </c>
    </row>
    <row r="136" spans="1:12" x14ac:dyDescent="0.35">
      <c r="A136" s="244" t="s">
        <v>223</v>
      </c>
      <c r="B136" s="84"/>
      <c r="C136" s="88" t="s">
        <v>80</v>
      </c>
      <c r="D136" s="248" t="s">
        <v>795</v>
      </c>
      <c r="E136" s="248" t="s">
        <v>796</v>
      </c>
      <c r="F136" s="67" t="s">
        <v>784</v>
      </c>
      <c r="G136" s="67"/>
      <c r="H136" s="67" t="s">
        <v>624</v>
      </c>
      <c r="I136" s="69">
        <v>20943.42105263158</v>
      </c>
      <c r="J136" s="67" t="s">
        <v>363</v>
      </c>
      <c r="K136" s="68">
        <v>780.07899999999995</v>
      </c>
      <c r="L136" s="69">
        <f t="shared" si="1"/>
        <v>20943</v>
      </c>
    </row>
    <row r="137" spans="1:12" ht="16" thickBot="1" x14ac:dyDescent="0.4">
      <c r="A137" s="244" t="s">
        <v>224</v>
      </c>
      <c r="B137" s="85"/>
      <c r="C137" s="88" t="s">
        <v>80</v>
      </c>
      <c r="D137" s="248" t="s">
        <v>797</v>
      </c>
      <c r="E137" s="248" t="s">
        <v>798</v>
      </c>
      <c r="F137" s="67" t="s">
        <v>784</v>
      </c>
      <c r="G137" s="67"/>
      <c r="H137" s="67" t="s">
        <v>624</v>
      </c>
      <c r="I137" s="69">
        <v>26463.157894736843</v>
      </c>
      <c r="J137" s="67" t="s">
        <v>363</v>
      </c>
      <c r="K137" s="68">
        <v>991.41</v>
      </c>
      <c r="L137" s="69">
        <f t="shared" si="1"/>
        <v>26463</v>
      </c>
    </row>
    <row r="138" spans="1:12" x14ac:dyDescent="0.35">
      <c r="A138" s="244" t="s">
        <v>225</v>
      </c>
      <c r="B138" s="91" t="s">
        <v>437</v>
      </c>
      <c r="C138" s="88" t="s">
        <v>80</v>
      </c>
      <c r="D138" s="248" t="s">
        <v>799</v>
      </c>
      <c r="E138" s="248" t="s">
        <v>800</v>
      </c>
      <c r="F138" s="67" t="s">
        <v>784</v>
      </c>
      <c r="G138" s="67"/>
      <c r="H138" s="67" t="s">
        <v>624</v>
      </c>
      <c r="I138" s="69">
        <v>31894.736842105263</v>
      </c>
      <c r="J138" s="67" t="s">
        <v>363</v>
      </c>
      <c r="K138" s="68">
        <v>1236.7749999999999</v>
      </c>
      <c r="L138" s="69">
        <f t="shared" si="1"/>
        <v>31895</v>
      </c>
    </row>
    <row r="139" spans="1:12" x14ac:dyDescent="0.35">
      <c r="A139" s="244" t="s">
        <v>226</v>
      </c>
      <c r="B139" s="65" t="s">
        <v>438</v>
      </c>
      <c r="C139" s="88" t="s">
        <v>80</v>
      </c>
      <c r="D139" s="248" t="s">
        <v>801</v>
      </c>
      <c r="E139" s="248" t="s">
        <v>802</v>
      </c>
      <c r="F139" s="67" t="s">
        <v>784</v>
      </c>
      <c r="G139" s="67"/>
      <c r="H139" s="67" t="s">
        <v>624</v>
      </c>
      <c r="I139" s="69">
        <v>42010.526315789473</v>
      </c>
      <c r="J139" s="67" t="s">
        <v>363</v>
      </c>
      <c r="K139" s="68">
        <v>1555.1569999999999</v>
      </c>
      <c r="L139" s="69">
        <f t="shared" si="1"/>
        <v>42011</v>
      </c>
    </row>
    <row r="140" spans="1:12" x14ac:dyDescent="0.35">
      <c r="A140" s="244" t="s">
        <v>227</v>
      </c>
      <c r="B140" s="64" t="s">
        <v>439</v>
      </c>
      <c r="C140" s="88" t="s">
        <v>80</v>
      </c>
      <c r="D140" s="248" t="s">
        <v>803</v>
      </c>
      <c r="E140" s="248" t="s">
        <v>804</v>
      </c>
      <c r="F140" s="67" t="s">
        <v>784</v>
      </c>
      <c r="G140" s="67"/>
      <c r="H140" s="67" t="s">
        <v>624</v>
      </c>
      <c r="I140" s="69">
        <v>51936.84210526316</v>
      </c>
      <c r="J140" s="67" t="s">
        <v>363</v>
      </c>
      <c r="K140" s="68">
        <v>2030.4069999999999</v>
      </c>
      <c r="L140" s="69">
        <f t="shared" ref="L140:L151" si="2">(ROUND(I140,0)*(1+$L$7))</f>
        <v>51937</v>
      </c>
    </row>
    <row r="141" spans="1:12" x14ac:dyDescent="0.35">
      <c r="A141" s="244" t="s">
        <v>464</v>
      </c>
      <c r="B141" s="65" t="s">
        <v>440</v>
      </c>
      <c r="C141" s="88" t="s">
        <v>444</v>
      </c>
      <c r="D141" s="248" t="s">
        <v>805</v>
      </c>
      <c r="E141" s="248" t="s">
        <v>806</v>
      </c>
      <c r="F141" s="67" t="s">
        <v>784</v>
      </c>
      <c r="G141" s="67"/>
      <c r="H141" s="67" t="s">
        <v>624</v>
      </c>
      <c r="I141" s="69">
        <v>2623.6842105263158</v>
      </c>
      <c r="J141" s="67" t="s">
        <v>363</v>
      </c>
      <c r="K141" s="68">
        <v>71.631</v>
      </c>
      <c r="L141" s="69">
        <f t="shared" si="2"/>
        <v>2624</v>
      </c>
    </row>
    <row r="142" spans="1:12" x14ac:dyDescent="0.35">
      <c r="A142" s="244" t="s">
        <v>465</v>
      </c>
      <c r="B142" s="64" t="s">
        <v>441</v>
      </c>
      <c r="C142" s="88" t="s">
        <v>444</v>
      </c>
      <c r="D142" s="248" t="s">
        <v>807</v>
      </c>
      <c r="E142" s="248" t="s">
        <v>808</v>
      </c>
      <c r="F142" s="67" t="s">
        <v>784</v>
      </c>
      <c r="G142" s="67"/>
      <c r="H142" s="67" t="s">
        <v>624</v>
      </c>
      <c r="I142" s="69">
        <v>3257.8947368421054</v>
      </c>
      <c r="J142" s="67" t="s">
        <v>363</v>
      </c>
      <c r="K142" s="68">
        <v>95.393000000000001</v>
      </c>
      <c r="L142" s="69">
        <f t="shared" si="2"/>
        <v>3258</v>
      </c>
    </row>
    <row r="143" spans="1:12" x14ac:dyDescent="0.35">
      <c r="A143" s="244" t="s">
        <v>466</v>
      </c>
      <c r="B143" s="65" t="s">
        <v>442</v>
      </c>
      <c r="C143" s="88" t="s">
        <v>444</v>
      </c>
      <c r="D143" s="248" t="s">
        <v>809</v>
      </c>
      <c r="E143" s="248" t="s">
        <v>810</v>
      </c>
      <c r="F143" s="67" t="s">
        <v>784</v>
      </c>
      <c r="G143" s="67"/>
      <c r="H143" s="67" t="s">
        <v>624</v>
      </c>
      <c r="I143" s="69">
        <v>4802.6315789473683</v>
      </c>
      <c r="J143" s="67" t="s">
        <v>363</v>
      </c>
      <c r="K143" s="68">
        <v>143.255</v>
      </c>
      <c r="L143" s="69">
        <f t="shared" si="2"/>
        <v>4803</v>
      </c>
    </row>
    <row r="144" spans="1:12" ht="16" thickBot="1" x14ac:dyDescent="0.4">
      <c r="A144" s="244" t="s">
        <v>536</v>
      </c>
      <c r="B144" s="66" t="s">
        <v>443</v>
      </c>
      <c r="C144" s="89" t="s">
        <v>335</v>
      </c>
      <c r="D144" s="248" t="s">
        <v>811</v>
      </c>
      <c r="E144" s="248" t="s">
        <v>607</v>
      </c>
      <c r="F144" s="67" t="s">
        <v>784</v>
      </c>
      <c r="G144" s="67"/>
      <c r="H144" s="67" t="s">
        <v>624</v>
      </c>
      <c r="I144" s="69">
        <v>7219</v>
      </c>
      <c r="J144" s="67" t="s">
        <v>363</v>
      </c>
      <c r="K144" s="68">
        <v>441.44</v>
      </c>
      <c r="L144" s="69">
        <f t="shared" si="2"/>
        <v>7219</v>
      </c>
    </row>
    <row r="145" spans="1:12" x14ac:dyDescent="0.35">
      <c r="A145" s="244" t="s">
        <v>537</v>
      </c>
      <c r="B145" s="91" t="s">
        <v>437</v>
      </c>
      <c r="C145" s="89" t="s">
        <v>335</v>
      </c>
      <c r="D145" s="248" t="s">
        <v>812</v>
      </c>
      <c r="E145" s="248" t="s">
        <v>608</v>
      </c>
      <c r="F145" s="67" t="s">
        <v>784</v>
      </c>
      <c r="G145" s="67"/>
      <c r="H145" s="67" t="s">
        <v>624</v>
      </c>
      <c r="I145" s="69">
        <v>10196</v>
      </c>
      <c r="J145" s="67" t="s">
        <v>363</v>
      </c>
      <c r="K145" s="68">
        <v>624.32500000000005</v>
      </c>
      <c r="L145" s="69">
        <f t="shared" si="2"/>
        <v>10196</v>
      </c>
    </row>
    <row r="146" spans="1:12" x14ac:dyDescent="0.35">
      <c r="A146" s="244" t="s">
        <v>590</v>
      </c>
      <c r="B146" s="65" t="s">
        <v>438</v>
      </c>
      <c r="C146" s="88" t="s">
        <v>813</v>
      </c>
      <c r="D146" s="248" t="s">
        <v>596</v>
      </c>
      <c r="E146" s="248" t="s">
        <v>814</v>
      </c>
      <c r="F146" s="67" t="s">
        <v>784</v>
      </c>
      <c r="G146" s="67"/>
      <c r="H146" s="67" t="s">
        <v>624</v>
      </c>
      <c r="I146" s="69">
        <v>2104</v>
      </c>
      <c r="J146" s="67" t="s">
        <v>363</v>
      </c>
      <c r="K146" s="68">
        <v>83.075999999999993</v>
      </c>
      <c r="L146" s="69">
        <f t="shared" si="2"/>
        <v>2104</v>
      </c>
    </row>
    <row r="147" spans="1:12" x14ac:dyDescent="0.35">
      <c r="A147" s="244" t="s">
        <v>591</v>
      </c>
      <c r="B147" s="64" t="s">
        <v>439</v>
      </c>
      <c r="C147" s="88" t="s">
        <v>813</v>
      </c>
      <c r="D147" s="248" t="s">
        <v>597</v>
      </c>
      <c r="E147" s="248" t="s">
        <v>815</v>
      </c>
      <c r="F147" s="67" t="s">
        <v>784</v>
      </c>
      <c r="G147" s="67"/>
      <c r="H147" s="67" t="s">
        <v>624</v>
      </c>
      <c r="I147" s="69">
        <v>2104</v>
      </c>
      <c r="J147" s="67" t="s">
        <v>363</v>
      </c>
      <c r="K147" s="68">
        <v>83.141999999999996</v>
      </c>
      <c r="L147" s="69">
        <f t="shared" si="2"/>
        <v>2104</v>
      </c>
    </row>
    <row r="148" spans="1:12" x14ac:dyDescent="0.35">
      <c r="A148" s="244" t="s">
        <v>592</v>
      </c>
      <c r="B148" s="65" t="s">
        <v>440</v>
      </c>
      <c r="C148" s="88" t="s">
        <v>813</v>
      </c>
      <c r="D148" s="248" t="s">
        <v>598</v>
      </c>
      <c r="E148" s="248" t="s">
        <v>816</v>
      </c>
      <c r="F148" s="67" t="s">
        <v>817</v>
      </c>
      <c r="G148" s="67">
        <v>300</v>
      </c>
      <c r="H148" s="67" t="s">
        <v>624</v>
      </c>
      <c r="I148" s="69">
        <v>1048</v>
      </c>
      <c r="J148" s="67" t="s">
        <v>363</v>
      </c>
      <c r="K148" s="68">
        <v>32.381999999999998</v>
      </c>
      <c r="L148" s="69">
        <f t="shared" si="2"/>
        <v>1048</v>
      </c>
    </row>
    <row r="149" spans="1:12" x14ac:dyDescent="0.35">
      <c r="A149" s="244" t="s">
        <v>593</v>
      </c>
      <c r="B149" s="64" t="s">
        <v>441</v>
      </c>
      <c r="C149" s="88" t="s">
        <v>813</v>
      </c>
      <c r="D149" s="248" t="s">
        <v>599</v>
      </c>
      <c r="E149" s="248" t="s">
        <v>818</v>
      </c>
      <c r="F149" s="67" t="s">
        <v>817</v>
      </c>
      <c r="G149" s="67">
        <v>300</v>
      </c>
      <c r="H149" s="67" t="s">
        <v>624</v>
      </c>
      <c r="I149" s="69">
        <v>1048</v>
      </c>
      <c r="J149" s="67" t="s">
        <v>363</v>
      </c>
      <c r="K149" s="68">
        <v>32.369</v>
      </c>
      <c r="L149" s="69">
        <f t="shared" si="2"/>
        <v>1048</v>
      </c>
    </row>
    <row r="150" spans="1:12" x14ac:dyDescent="0.35">
      <c r="A150" s="244" t="s">
        <v>594</v>
      </c>
      <c r="B150" s="65" t="s">
        <v>442</v>
      </c>
      <c r="C150" s="88" t="s">
        <v>813</v>
      </c>
      <c r="D150" s="248" t="s">
        <v>600</v>
      </c>
      <c r="E150" s="248" t="s">
        <v>819</v>
      </c>
      <c r="F150" s="67" t="s">
        <v>817</v>
      </c>
      <c r="G150" s="67">
        <v>300</v>
      </c>
      <c r="H150" s="67" t="s">
        <v>624</v>
      </c>
      <c r="I150" s="69">
        <v>1401</v>
      </c>
      <c r="J150" s="67" t="s">
        <v>363</v>
      </c>
      <c r="K150" s="68">
        <v>47.451999999999998</v>
      </c>
      <c r="L150" s="69">
        <f t="shared" si="2"/>
        <v>1401</v>
      </c>
    </row>
    <row r="151" spans="1:12" ht="16" thickBot="1" x14ac:dyDescent="0.4">
      <c r="A151" s="245" t="s">
        <v>595</v>
      </c>
      <c r="B151" s="66" t="s">
        <v>443</v>
      </c>
      <c r="C151" s="256" t="s">
        <v>813</v>
      </c>
      <c r="D151" s="248" t="s">
        <v>601</v>
      </c>
      <c r="E151" s="248" t="s">
        <v>820</v>
      </c>
      <c r="F151" s="67" t="s">
        <v>817</v>
      </c>
      <c r="G151" s="67">
        <v>300</v>
      </c>
      <c r="H151" s="67" t="s">
        <v>624</v>
      </c>
      <c r="I151" s="69">
        <v>1401</v>
      </c>
      <c r="J151" s="67" t="s">
        <v>363</v>
      </c>
      <c r="K151" s="68">
        <v>46.85</v>
      </c>
      <c r="L151" s="69">
        <f t="shared" si="2"/>
        <v>1401</v>
      </c>
    </row>
    <row r="152" spans="1:12" x14ac:dyDescent="0.35">
      <c r="A152" s="53" t="s">
        <v>609</v>
      </c>
      <c r="B152" s="65" t="s">
        <v>440</v>
      </c>
      <c r="C152" s="88" t="s">
        <v>813</v>
      </c>
      <c r="D152" s="248" t="s">
        <v>598</v>
      </c>
      <c r="E152" s="248" t="s">
        <v>816</v>
      </c>
      <c r="F152" s="67" t="s">
        <v>817</v>
      </c>
      <c r="G152" s="67">
        <v>300</v>
      </c>
      <c r="H152" s="67" t="s">
        <v>624</v>
      </c>
      <c r="I152" s="69">
        <v>1048</v>
      </c>
      <c r="J152" s="67" t="s">
        <v>363</v>
      </c>
      <c r="K152" s="68">
        <v>32.381999999999998</v>
      </c>
      <c r="L152" s="69">
        <f t="shared" ref="L152:L159" si="3">(ROUND(I152,0)*(1+$L$7))</f>
        <v>1048</v>
      </c>
    </row>
    <row r="153" spans="1:12" x14ac:dyDescent="0.35">
      <c r="A153" s="54" t="s">
        <v>610</v>
      </c>
      <c r="B153" s="64" t="s">
        <v>441</v>
      </c>
      <c r="C153" s="88" t="s">
        <v>813</v>
      </c>
      <c r="D153" s="248" t="s">
        <v>599</v>
      </c>
      <c r="E153" s="248" t="s">
        <v>818</v>
      </c>
      <c r="F153" s="67" t="s">
        <v>817</v>
      </c>
      <c r="G153" s="67">
        <v>300</v>
      </c>
      <c r="H153" s="67" t="s">
        <v>624</v>
      </c>
      <c r="I153" s="69">
        <v>1048</v>
      </c>
      <c r="J153" s="67" t="s">
        <v>363</v>
      </c>
      <c r="K153" s="68">
        <v>32.369</v>
      </c>
      <c r="L153" s="69">
        <f t="shared" si="3"/>
        <v>1048</v>
      </c>
    </row>
    <row r="154" spans="1:12" x14ac:dyDescent="0.35">
      <c r="A154" s="53" t="s">
        <v>611</v>
      </c>
      <c r="B154" s="65" t="s">
        <v>442</v>
      </c>
      <c r="C154" s="88" t="s">
        <v>813</v>
      </c>
      <c r="D154" s="248" t="s">
        <v>600</v>
      </c>
      <c r="E154" s="248" t="s">
        <v>819</v>
      </c>
      <c r="F154" s="67" t="s">
        <v>817</v>
      </c>
      <c r="G154" s="67">
        <v>300</v>
      </c>
      <c r="H154" s="67" t="s">
        <v>624</v>
      </c>
      <c r="I154" s="69">
        <v>1401</v>
      </c>
      <c r="J154" s="67" t="s">
        <v>363</v>
      </c>
      <c r="K154" s="68">
        <v>47.451999999999998</v>
      </c>
      <c r="L154" s="69">
        <f t="shared" si="3"/>
        <v>1401</v>
      </c>
    </row>
    <row r="155" spans="1:12" ht="16" thickBot="1" x14ac:dyDescent="0.4">
      <c r="A155" s="54" t="s">
        <v>612</v>
      </c>
      <c r="B155" s="66" t="s">
        <v>443</v>
      </c>
      <c r="C155" s="256" t="s">
        <v>813</v>
      </c>
      <c r="D155" s="248" t="s">
        <v>601</v>
      </c>
      <c r="E155" s="248" t="s">
        <v>820</v>
      </c>
      <c r="F155" s="67" t="s">
        <v>817</v>
      </c>
      <c r="G155" s="67">
        <v>300</v>
      </c>
      <c r="H155" s="67" t="s">
        <v>624</v>
      </c>
      <c r="I155" s="69">
        <v>1401</v>
      </c>
      <c r="J155" s="67" t="s">
        <v>363</v>
      </c>
      <c r="K155" s="68">
        <v>46.85</v>
      </c>
      <c r="L155" s="69">
        <f t="shared" si="3"/>
        <v>1401</v>
      </c>
    </row>
    <row r="156" spans="1:12" x14ac:dyDescent="0.35">
      <c r="A156" s="286"/>
      <c r="B156" s="287"/>
      <c r="C156" s="256" t="s">
        <v>129</v>
      </c>
      <c r="D156" s="248" t="s">
        <v>829</v>
      </c>
      <c r="E156" s="248" t="s">
        <v>835</v>
      </c>
      <c r="F156" s="67" t="s">
        <v>817</v>
      </c>
      <c r="G156" s="67">
        <v>200</v>
      </c>
      <c r="H156" s="67" t="s">
        <v>624</v>
      </c>
      <c r="I156" s="69">
        <v>1205</v>
      </c>
      <c r="J156" s="67" t="s">
        <v>363</v>
      </c>
      <c r="K156" s="68">
        <v>1006.6026315789474</v>
      </c>
      <c r="L156" s="69">
        <f t="shared" si="3"/>
        <v>1205</v>
      </c>
    </row>
    <row r="157" spans="1:12" x14ac:dyDescent="0.35">
      <c r="A157" s="286"/>
      <c r="B157" s="287"/>
      <c r="C157" s="256" t="s">
        <v>129</v>
      </c>
      <c r="D157" s="248" t="s">
        <v>831</v>
      </c>
      <c r="E157" s="248" t="s">
        <v>836</v>
      </c>
      <c r="F157" s="67" t="s">
        <v>817</v>
      </c>
      <c r="G157" s="67">
        <v>300</v>
      </c>
      <c r="H157" s="67" t="s">
        <v>624</v>
      </c>
      <c r="I157" s="69">
        <v>758</v>
      </c>
      <c r="J157" s="67" t="s">
        <v>363</v>
      </c>
      <c r="K157" s="68">
        <v>633.78684210526319</v>
      </c>
      <c r="L157" s="69">
        <f t="shared" si="3"/>
        <v>758</v>
      </c>
    </row>
    <row r="158" spans="1:12" x14ac:dyDescent="0.35">
      <c r="A158" s="286"/>
      <c r="B158" s="287"/>
      <c r="C158" s="256" t="s">
        <v>91</v>
      </c>
      <c r="D158" s="248" t="s">
        <v>832</v>
      </c>
      <c r="E158" s="248" t="s">
        <v>837</v>
      </c>
      <c r="F158" s="67" t="s">
        <v>817</v>
      </c>
      <c r="G158" s="67">
        <v>500</v>
      </c>
      <c r="H158" s="67" t="s">
        <v>624</v>
      </c>
      <c r="I158" s="69">
        <v>660</v>
      </c>
      <c r="J158" s="67" t="s">
        <v>363</v>
      </c>
      <c r="K158" s="68">
        <v>19.817333138815719</v>
      </c>
      <c r="L158" s="69">
        <f t="shared" si="3"/>
        <v>660</v>
      </c>
    </row>
    <row r="159" spans="1:12" ht="16" thickBot="1" x14ac:dyDescent="0.4">
      <c r="A159" s="286"/>
      <c r="B159" s="287"/>
      <c r="C159" s="256" t="s">
        <v>91</v>
      </c>
      <c r="D159" s="248" t="s">
        <v>834</v>
      </c>
      <c r="E159" s="248" t="s">
        <v>838</v>
      </c>
      <c r="F159" s="67" t="s">
        <v>817</v>
      </c>
      <c r="G159" s="67">
        <v>500</v>
      </c>
      <c r="H159" s="67" t="s">
        <v>624</v>
      </c>
      <c r="I159" s="69">
        <v>626</v>
      </c>
      <c r="J159" s="67" t="s">
        <v>363</v>
      </c>
      <c r="K159" s="68">
        <v>19.817333138815719</v>
      </c>
      <c r="L159" s="69">
        <f t="shared" si="3"/>
        <v>626</v>
      </c>
    </row>
    <row r="160" spans="1:12" x14ac:dyDescent="0.35">
      <c r="A160" s="101" t="s">
        <v>515</v>
      </c>
      <c r="B160" s="91" t="s">
        <v>451</v>
      </c>
      <c r="C160" s="102" t="s">
        <v>450</v>
      </c>
      <c r="D160" s="92" t="s">
        <v>513</v>
      </c>
      <c r="E160" s="92" t="s">
        <v>491</v>
      </c>
      <c r="F160" s="93"/>
      <c r="G160" s="93"/>
      <c r="H160" s="93"/>
      <c r="J160" s="94">
        <v>82.260999999999996</v>
      </c>
      <c r="K160" s="94">
        <v>0</v>
      </c>
      <c r="L160" s="69">
        <v>754.39</v>
      </c>
    </row>
    <row r="161" spans="1:12" x14ac:dyDescent="0.35">
      <c r="A161" s="96" t="s">
        <v>516</v>
      </c>
      <c r="B161" s="65" t="s">
        <v>452</v>
      </c>
      <c r="C161" s="89" t="s">
        <v>450</v>
      </c>
      <c r="D161" s="78" t="s">
        <v>514</v>
      </c>
      <c r="E161" s="78" t="s">
        <v>492</v>
      </c>
      <c r="J161" s="79">
        <v>130.92500000000001</v>
      </c>
      <c r="K161" s="79">
        <v>0</v>
      </c>
      <c r="L161" s="69">
        <v>1149.33</v>
      </c>
    </row>
    <row r="162" spans="1:12" x14ac:dyDescent="0.35">
      <c r="A162" s="54" t="s">
        <v>860</v>
      </c>
      <c r="B162" s="65" t="s">
        <v>851</v>
      </c>
      <c r="C162" s="89" t="s">
        <v>450</v>
      </c>
      <c r="D162" s="78" t="s">
        <v>851</v>
      </c>
      <c r="E162" s="78" t="s">
        <v>850</v>
      </c>
      <c r="J162" s="79">
        <v>563.37199999999996</v>
      </c>
      <c r="K162" s="79">
        <v>0</v>
      </c>
      <c r="L162" s="69">
        <v>4761.12</v>
      </c>
    </row>
    <row r="163" spans="1:12" x14ac:dyDescent="0.35">
      <c r="A163" s="53" t="s">
        <v>859</v>
      </c>
      <c r="B163" s="65" t="s">
        <v>856</v>
      </c>
      <c r="C163" s="89" t="s">
        <v>450</v>
      </c>
      <c r="D163" s="78" t="s">
        <v>856</v>
      </c>
      <c r="E163" s="78" t="s">
        <v>853</v>
      </c>
      <c r="J163" s="79">
        <v>727.38400000000001</v>
      </c>
      <c r="K163" s="79">
        <v>0</v>
      </c>
      <c r="L163" s="69">
        <v>5685.68</v>
      </c>
    </row>
    <row r="164" spans="1:12" x14ac:dyDescent="0.35">
      <c r="B164" s="65"/>
      <c r="C164" s="89"/>
      <c r="D164" s="78"/>
      <c r="E164" s="78"/>
      <c r="J164" s="79">
        <v>950.62</v>
      </c>
      <c r="K164" s="79">
        <v>0</v>
      </c>
    </row>
    <row r="165" spans="1:12" x14ac:dyDescent="0.35">
      <c r="A165" s="54" t="s">
        <v>858</v>
      </c>
      <c r="B165" s="65" t="s">
        <v>857</v>
      </c>
      <c r="C165" s="89" t="s">
        <v>450</v>
      </c>
      <c r="D165" s="78" t="s">
        <v>857</v>
      </c>
      <c r="E165" s="78" t="s">
        <v>855</v>
      </c>
      <c r="J165" s="79">
        <v>1374.2339999999999</v>
      </c>
      <c r="K165" s="79">
        <v>0</v>
      </c>
      <c r="L165" s="55">
        <v>9653.2800000000007</v>
      </c>
    </row>
    <row r="166" spans="1:12" x14ac:dyDescent="0.35">
      <c r="A166" s="96" t="s">
        <v>517</v>
      </c>
      <c r="B166" s="65" t="s">
        <v>453</v>
      </c>
      <c r="C166" s="89" t="s">
        <v>450</v>
      </c>
      <c r="D166" s="78" t="s">
        <v>453</v>
      </c>
      <c r="E166" s="78" t="s">
        <v>493</v>
      </c>
      <c r="J166" s="79">
        <v>164.52199999999999</v>
      </c>
      <c r="K166" s="79">
        <v>0</v>
      </c>
      <c r="L166" s="209">
        <v>1490.5800000000002</v>
      </c>
    </row>
    <row r="167" spans="1:12" x14ac:dyDescent="0.35">
      <c r="A167" s="95" t="s">
        <v>518</v>
      </c>
      <c r="B167" s="65" t="s">
        <v>454</v>
      </c>
      <c r="C167" s="89" t="s">
        <v>450</v>
      </c>
      <c r="D167" s="78" t="s">
        <v>454</v>
      </c>
      <c r="E167" s="78" t="s">
        <v>494</v>
      </c>
      <c r="J167" s="79">
        <v>261.85000000000002</v>
      </c>
      <c r="K167" s="79">
        <v>0</v>
      </c>
      <c r="L167" s="209">
        <v>2217.67</v>
      </c>
    </row>
    <row r="168" spans="1:12" ht="16" thickBot="1" x14ac:dyDescent="0.4">
      <c r="A168" s="97" t="s">
        <v>519</v>
      </c>
      <c r="B168" s="66" t="s">
        <v>455</v>
      </c>
      <c r="C168" s="103" t="s">
        <v>450</v>
      </c>
      <c r="D168" s="98" t="s">
        <v>521</v>
      </c>
      <c r="E168" s="98" t="s">
        <v>495</v>
      </c>
      <c r="F168" s="99"/>
      <c r="G168" s="99"/>
      <c r="H168" s="99"/>
      <c r="J168" s="100">
        <v>363.65800000000002</v>
      </c>
      <c r="K168" s="100">
        <v>0</v>
      </c>
      <c r="L168" s="209">
        <v>2987.53</v>
      </c>
    </row>
    <row r="169" spans="1:12" x14ac:dyDescent="0.35">
      <c r="A169" s="324" t="s">
        <v>860</v>
      </c>
      <c r="B169" s="325"/>
      <c r="C169" s="326"/>
      <c r="D169" s="327"/>
      <c r="E169" s="327"/>
      <c r="F169" s="328"/>
      <c r="G169" s="328"/>
      <c r="H169" s="328"/>
      <c r="J169" s="329"/>
      <c r="K169" s="329"/>
      <c r="L169" s="209">
        <v>4285.1900000000005</v>
      </c>
    </row>
    <row r="170" spans="1:12" x14ac:dyDescent="0.35">
      <c r="A170" s="324" t="s">
        <v>859</v>
      </c>
      <c r="B170" s="325"/>
      <c r="C170" s="326"/>
      <c r="D170" s="327"/>
      <c r="E170" s="327"/>
      <c r="F170" s="328"/>
      <c r="G170" s="328"/>
      <c r="H170" s="328"/>
      <c r="J170" s="329"/>
      <c r="K170" s="329"/>
      <c r="L170" s="209">
        <v>5116.93</v>
      </c>
    </row>
    <row r="171" spans="1:12" x14ac:dyDescent="0.35">
      <c r="A171" s="324" t="s">
        <v>858</v>
      </c>
      <c r="B171" s="325"/>
      <c r="C171" s="326"/>
      <c r="D171" s="327"/>
      <c r="E171" s="327"/>
      <c r="F171" s="328"/>
      <c r="G171" s="328"/>
      <c r="H171" s="328"/>
      <c r="J171" s="329"/>
      <c r="K171" s="329"/>
      <c r="L171" s="209">
        <v>9170.98</v>
      </c>
    </row>
    <row r="172" spans="1:12" x14ac:dyDescent="0.35">
      <c r="A172" s="53">
        <v>2090040001</v>
      </c>
      <c r="L172" s="55">
        <v>50</v>
      </c>
    </row>
    <row r="173" spans="1:12" x14ac:dyDescent="0.35">
      <c r="A173" s="54">
        <v>7800000103</v>
      </c>
      <c r="L173" s="55">
        <v>300</v>
      </c>
    </row>
  </sheetData>
  <mergeCells count="3">
    <mergeCell ref="C1:K2"/>
    <mergeCell ref="C3:K3"/>
    <mergeCell ref="C4:K5"/>
  </mergeCells>
  <phoneticPr fontId="45" type="noConversion"/>
  <printOptions horizontalCentered="1"/>
  <pageMargins left="0.25" right="0.25" top="0" bottom="0" header="0.3" footer="0.3"/>
  <pageSetup paperSize="9" fitToHeight="0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284"/>
  <sheetViews>
    <sheetView topLeftCell="F1" zoomScale="80" zoomScaleNormal="80" zoomScalePageLayoutView="80" workbookViewId="0">
      <selection activeCell="H213" sqref="H213:H217"/>
    </sheetView>
  </sheetViews>
  <sheetFormatPr defaultColWidth="9.08984375" defaultRowHeight="19" x14ac:dyDescent="0.4"/>
  <cols>
    <col min="1" max="1" width="6.36328125" style="174" bestFit="1" customWidth="1"/>
    <col min="2" max="2" width="24.36328125" style="174" bestFit="1" customWidth="1"/>
    <col min="3" max="3" width="20" style="174" customWidth="1"/>
    <col min="4" max="7" width="17.36328125" style="174" customWidth="1"/>
    <col min="8" max="8" width="30.81640625" style="174" bestFit="1" customWidth="1"/>
    <col min="9" max="9" width="14.08984375" style="174" bestFit="1" customWidth="1"/>
    <col min="10" max="12" width="9.08984375" style="186" customWidth="1"/>
    <col min="13" max="13" width="9.81640625" style="186" customWidth="1"/>
    <col min="14" max="18" width="9.08984375" style="186" customWidth="1"/>
    <col min="19" max="19" width="10.36328125" style="186" bestFit="1" customWidth="1"/>
    <col min="20" max="20" width="8.81640625" style="186" bestFit="1" customWidth="1"/>
    <col min="21" max="21" width="17.08984375" style="206" bestFit="1" customWidth="1"/>
    <col min="22" max="22" width="16" style="174" bestFit="1" customWidth="1"/>
    <col min="23" max="27" width="16" style="174" customWidth="1"/>
    <col min="28" max="28" width="13.36328125" style="182" bestFit="1" customWidth="1"/>
    <col min="29" max="29" width="1.81640625" style="174" bestFit="1" customWidth="1"/>
    <col min="30" max="30" width="16" style="174" customWidth="1"/>
    <col min="31" max="16384" width="9.08984375" style="174"/>
  </cols>
  <sheetData>
    <row r="1" spans="1:30" x14ac:dyDescent="0.4">
      <c r="B1" s="175" t="s">
        <v>22</v>
      </c>
      <c r="C1" s="175"/>
      <c r="D1" s="175"/>
      <c r="E1" s="175"/>
      <c r="F1" s="175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51"/>
      <c r="AC1" s="2"/>
      <c r="AD1" s="2"/>
    </row>
    <row r="2" spans="1:30" s="176" customFormat="1" ht="35.25" customHeight="1" x14ac:dyDescent="0.35">
      <c r="B2" s="330" t="s">
        <v>23</v>
      </c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  <c r="P2" s="330"/>
      <c r="Q2" s="330"/>
      <c r="R2" s="330"/>
      <c r="S2" s="330"/>
      <c r="T2" s="330"/>
      <c r="U2" s="330"/>
      <c r="V2" s="330"/>
      <c r="W2" s="330"/>
      <c r="X2" s="330"/>
      <c r="Y2" s="330"/>
      <c r="Z2" s="330"/>
      <c r="AA2" s="330"/>
      <c r="AB2" s="330"/>
      <c r="AC2" s="166"/>
      <c r="AD2" s="166"/>
    </row>
    <row r="3" spans="1:30" ht="19.5" x14ac:dyDescent="0.45">
      <c r="A3" s="176"/>
      <c r="B3" s="167" t="s">
        <v>24</v>
      </c>
      <c r="C3" s="177" t="s">
        <v>509</v>
      </c>
      <c r="D3" s="173" t="str">
        <f>VLOOKUP(C3,'CUSTOMER LIST'!B2:C8,2,FALSE)</f>
        <v>CUST00031</v>
      </c>
      <c r="E3" s="3"/>
      <c r="F3" s="3"/>
      <c r="H3" s="4" t="s">
        <v>25</v>
      </c>
      <c r="I3" s="178"/>
      <c r="J3" s="179"/>
      <c r="K3" s="174"/>
      <c r="L3" s="174"/>
      <c r="M3" s="174"/>
      <c r="N3" s="5"/>
      <c r="O3" s="6"/>
      <c r="P3" s="6"/>
      <c r="Q3" s="6"/>
      <c r="R3" s="6"/>
      <c r="S3" s="6"/>
      <c r="T3" s="6"/>
      <c r="U3" s="80"/>
      <c r="V3" s="7" t="s">
        <v>26</v>
      </c>
      <c r="W3" s="52"/>
      <c r="X3" s="7"/>
      <c r="Y3" s="7"/>
      <c r="Z3" s="7"/>
      <c r="AA3" s="7"/>
      <c r="AB3" s="174"/>
      <c r="AC3" s="3" t="s">
        <v>27</v>
      </c>
      <c r="AD3" s="7"/>
    </row>
    <row r="4" spans="1:30" ht="20" thickBot="1" x14ac:dyDescent="0.5">
      <c r="B4" s="167" t="s">
        <v>28</v>
      </c>
      <c r="C4" s="180" t="s">
        <v>522</v>
      </c>
      <c r="D4" s="180"/>
      <c r="E4" s="3"/>
      <c r="F4" s="3"/>
      <c r="H4" s="4" t="s">
        <v>29</v>
      </c>
      <c r="I4" s="181"/>
      <c r="J4" s="181"/>
      <c r="K4" s="174"/>
      <c r="L4" s="174"/>
      <c r="M4" s="174"/>
      <c r="N4" s="6"/>
      <c r="O4" s="6"/>
      <c r="P4" s="6"/>
      <c r="Q4" s="6"/>
      <c r="R4" s="6"/>
      <c r="S4" s="6"/>
      <c r="T4" s="6"/>
      <c r="U4" s="174"/>
      <c r="W4" s="182"/>
      <c r="AB4" s="174"/>
    </row>
    <row r="5" spans="1:30" ht="31.5" thickBot="1" x14ac:dyDescent="0.45">
      <c r="B5" s="183" t="s">
        <v>499</v>
      </c>
      <c r="C5" s="271">
        <v>-0.14000000000000001</v>
      </c>
      <c r="D5" s="184" t="s">
        <v>469</v>
      </c>
      <c r="E5" s="184" t="s">
        <v>470</v>
      </c>
      <c r="F5" s="184" t="s">
        <v>481</v>
      </c>
      <c r="G5" s="184" t="s">
        <v>502</v>
      </c>
      <c r="H5" s="184" t="s">
        <v>503</v>
      </c>
      <c r="I5" s="175"/>
      <c r="J5" s="185"/>
      <c r="K5" s="185"/>
      <c r="M5" s="185"/>
      <c r="N5" s="185"/>
      <c r="O5" s="185"/>
      <c r="P5" s="185"/>
      <c r="Q5" s="185"/>
      <c r="R5" s="185"/>
      <c r="S5" s="185"/>
      <c r="T5" s="185"/>
      <c r="U5" s="3"/>
      <c r="V5" s="175"/>
      <c r="W5" s="175"/>
      <c r="X5" s="175"/>
      <c r="Y5" s="175"/>
      <c r="Z5" s="175"/>
      <c r="AA5" s="175"/>
      <c r="AB5" s="187"/>
      <c r="AC5" s="175"/>
      <c r="AD5" s="175"/>
    </row>
    <row r="6" spans="1:30" ht="18.75" customHeight="1" thickBot="1" x14ac:dyDescent="0.45">
      <c r="A6" s="174" t="s">
        <v>30</v>
      </c>
      <c r="B6" s="139" t="s">
        <v>31</v>
      </c>
      <c r="C6" s="140">
        <f>SUMIF($A:$A,A6,$V:$V)</f>
        <v>0</v>
      </c>
      <c r="D6" s="331" t="e">
        <f>IF((C6+C7)&lt;C8,(C6+C7),"Over Weight")</f>
        <v>#VALUE!</v>
      </c>
      <c r="E6" s="331" t="e">
        <f>SUMPRODUCT(AA:AA,Z:Z)</f>
        <v>#VALUE!</v>
      </c>
      <c r="F6" s="331" t="e">
        <f>E6*1.11</f>
        <v>#VALUE!</v>
      </c>
      <c r="G6" s="331" t="e">
        <f>SUM(X:X)</f>
        <v>#N/A</v>
      </c>
      <c r="H6" s="331">
        <f>SUM(Y:Y)</f>
        <v>0</v>
      </c>
      <c r="J6" s="333" t="s">
        <v>33</v>
      </c>
      <c r="K6" s="334"/>
      <c r="L6" s="334"/>
      <c r="M6" s="334"/>
      <c r="N6" s="334"/>
      <c r="O6" s="334"/>
      <c r="P6" s="334"/>
      <c r="Q6" s="334"/>
      <c r="R6" s="334"/>
      <c r="S6" s="334"/>
      <c r="T6" s="334"/>
      <c r="U6" s="335"/>
    </row>
    <row r="7" spans="1:30" ht="19.5" thickBot="1" x14ac:dyDescent="0.45">
      <c r="A7" s="174" t="s">
        <v>34</v>
      </c>
      <c r="B7" s="141" t="s">
        <v>35</v>
      </c>
      <c r="C7" s="142" t="e">
        <f>SUMIF($A:$A,A7,$V:$V)</f>
        <v>#VALUE!</v>
      </c>
      <c r="D7" s="332"/>
      <c r="E7" s="332"/>
      <c r="F7" s="332"/>
      <c r="G7" s="332"/>
      <c r="H7" s="332"/>
      <c r="J7" s="148" t="s">
        <v>36</v>
      </c>
      <c r="K7" s="164" t="s">
        <v>37</v>
      </c>
      <c r="L7" s="152" t="s">
        <v>38</v>
      </c>
      <c r="M7" s="154" t="s">
        <v>39</v>
      </c>
      <c r="N7" s="149" t="s">
        <v>40</v>
      </c>
      <c r="O7" s="156" t="s">
        <v>41</v>
      </c>
      <c r="P7" s="158" t="s">
        <v>42</v>
      </c>
      <c r="Q7" s="160" t="s">
        <v>43</v>
      </c>
      <c r="R7" s="162" t="s">
        <v>359</v>
      </c>
      <c r="S7" s="150" t="s">
        <v>44</v>
      </c>
      <c r="T7" s="151" t="s">
        <v>45</v>
      </c>
      <c r="U7" s="336" t="s">
        <v>46</v>
      </c>
    </row>
    <row r="8" spans="1:30" s="177" customFormat="1" ht="26.25" customHeight="1" thickBot="1" x14ac:dyDescent="0.5">
      <c r="B8" s="188" t="s">
        <v>32</v>
      </c>
      <c r="C8" s="138">
        <v>20000</v>
      </c>
      <c r="D8" s="143"/>
      <c r="E8" s="143"/>
      <c r="F8" s="143"/>
      <c r="G8" s="143"/>
      <c r="H8" s="143"/>
      <c r="I8" s="8"/>
      <c r="J8" s="144" t="s">
        <v>47</v>
      </c>
      <c r="K8" s="165" t="s">
        <v>48</v>
      </c>
      <c r="L8" s="153" t="s">
        <v>49</v>
      </c>
      <c r="M8" s="155" t="s">
        <v>50</v>
      </c>
      <c r="N8" s="145" t="s">
        <v>51</v>
      </c>
      <c r="O8" s="157" t="s">
        <v>52</v>
      </c>
      <c r="P8" s="159" t="s">
        <v>53</v>
      </c>
      <c r="Q8" s="161" t="s">
        <v>54</v>
      </c>
      <c r="R8" s="163" t="s">
        <v>359</v>
      </c>
      <c r="S8" s="146" t="s">
        <v>55</v>
      </c>
      <c r="T8" s="147" t="s">
        <v>45</v>
      </c>
      <c r="U8" s="337"/>
    </row>
    <row r="9" spans="1:30" ht="16.5" customHeight="1" thickBot="1" x14ac:dyDescent="0.3">
      <c r="B9" s="81" t="s">
        <v>56</v>
      </c>
      <c r="C9" s="81" t="s">
        <v>57</v>
      </c>
      <c r="D9" s="81" t="s">
        <v>58</v>
      </c>
      <c r="E9" s="81" t="s">
        <v>59</v>
      </c>
      <c r="F9" s="81" t="s">
        <v>60</v>
      </c>
      <c r="G9" s="9" t="s">
        <v>61</v>
      </c>
      <c r="H9" s="9" t="s">
        <v>62</v>
      </c>
      <c r="I9" s="9" t="s">
        <v>63</v>
      </c>
      <c r="J9" s="13" t="s">
        <v>64</v>
      </c>
      <c r="K9" s="14" t="s">
        <v>358</v>
      </c>
      <c r="L9" s="14" t="s">
        <v>65</v>
      </c>
      <c r="M9" s="14" t="s">
        <v>66</v>
      </c>
      <c r="N9" s="14" t="s">
        <v>14</v>
      </c>
      <c r="O9" s="14" t="s">
        <v>67</v>
      </c>
      <c r="P9" s="14" t="s">
        <v>68</v>
      </c>
      <c r="Q9" s="14" t="s">
        <v>69</v>
      </c>
      <c r="R9" s="14" t="s">
        <v>359</v>
      </c>
      <c r="S9" s="14" t="s">
        <v>70</v>
      </c>
      <c r="T9" s="10" t="s">
        <v>71</v>
      </c>
      <c r="U9" s="11" t="s">
        <v>72</v>
      </c>
      <c r="V9" s="12" t="s">
        <v>73</v>
      </c>
      <c r="W9" s="50" t="s">
        <v>362</v>
      </c>
      <c r="X9" s="134" t="s">
        <v>500</v>
      </c>
      <c r="Y9" s="134" t="s">
        <v>501</v>
      </c>
      <c r="Z9" s="134" t="s">
        <v>504</v>
      </c>
      <c r="AA9" s="134" t="s">
        <v>505</v>
      </c>
      <c r="AB9" s="50" t="s">
        <v>74</v>
      </c>
      <c r="AD9" s="50" t="s">
        <v>60</v>
      </c>
    </row>
    <row r="10" spans="1:30" s="192" customFormat="1" ht="19.5" x14ac:dyDescent="0.45">
      <c r="A10" s="189" t="s">
        <v>30</v>
      </c>
      <c r="B10" s="15">
        <v>1</v>
      </c>
      <c r="C10" s="16" t="s">
        <v>75</v>
      </c>
      <c r="D10" s="16" t="s">
        <v>15</v>
      </c>
      <c r="E10" s="16" t="s">
        <v>16</v>
      </c>
      <c r="F10" s="16">
        <v>100</v>
      </c>
      <c r="G10" s="17" t="s">
        <v>76</v>
      </c>
      <c r="H10" s="17" t="s">
        <v>583</v>
      </c>
      <c r="I10" s="17"/>
      <c r="J10" s="190">
        <f>Table1[[#This Row],[B]]</f>
        <v>0</v>
      </c>
      <c r="K10" s="190">
        <f>Table1[[#This Row],[BE]]</f>
        <v>0</v>
      </c>
      <c r="L10" s="190">
        <f>Table1[[#This Row],[G]]</f>
        <v>0</v>
      </c>
      <c r="M10" s="190">
        <f>Table1[[#This Row],[J]]</f>
        <v>0</v>
      </c>
      <c r="N10" s="190">
        <f>Table1[[#This Row],[N]]</f>
        <v>0</v>
      </c>
      <c r="O10" s="190">
        <f>Table1[[#This Row],[R]]</f>
        <v>0</v>
      </c>
      <c r="P10" s="190">
        <f>Table1[[#This Row],[V]]</f>
        <v>0</v>
      </c>
      <c r="Q10" s="190">
        <f>Table1[[#This Row],[VJ]]</f>
        <v>0</v>
      </c>
      <c r="R10" s="44">
        <f>Table1[[#This Row],[RN]]</f>
        <v>0</v>
      </c>
      <c r="S10" s="190">
        <f>Table1[[#This Row],[Blank]]</f>
        <v>0</v>
      </c>
      <c r="T10" s="43">
        <f>SUM(Table14[[#This Row],[B]:[Blank]])</f>
        <v>0</v>
      </c>
      <c r="U10" s="114">
        <v>1.05</v>
      </c>
      <c r="V10" s="115">
        <f>U10*T10</f>
        <v>0</v>
      </c>
      <c r="W10" s="191">
        <v>0.81100000000000005</v>
      </c>
      <c r="X10" s="113">
        <f>Table14[[#This Row],[Coil Size]]*Table14[[#This Row],[D10]]/1000*VLOOKUP(Table14[[#This Row],[Navision Code]],'TABULAR PRICE LIST'!A:L,11,FALSE)</f>
        <v>0</v>
      </c>
      <c r="Y10" s="113">
        <f>IFERROR(Table14[[#This Row],[Coil Size]]*Table14[[#This Row],[D10]]/1000*VLOOKUP(Table14[[#This Row],[Navision Code]],'TABULAR PRICE LIST'!A:L,10,FALSE),0)</f>
        <v>0</v>
      </c>
      <c r="Z10" s="113">
        <f>VLOOKUP(C10,'TABULAR PRICE LIST'!$A:$L,12,FALSE)</f>
        <v>163</v>
      </c>
      <c r="AA10" s="113">
        <f>Table14[[#This Row],[Coil Size]]*Table14[[#This Row],[D10]]/1000</f>
        <v>0</v>
      </c>
      <c r="AB10" s="191">
        <f>Table14[[#This Row],[Weight/KYD]]*Table14[[#This Row],[D10]]</f>
        <v>0</v>
      </c>
      <c r="AC10" s="177"/>
      <c r="AD10" s="191">
        <v>100</v>
      </c>
    </row>
    <row r="11" spans="1:30" s="192" customFormat="1" ht="19.5" x14ac:dyDescent="0.45">
      <c r="A11" s="189" t="s">
        <v>30</v>
      </c>
      <c r="B11" s="18">
        <f>B10+1</f>
        <v>2</v>
      </c>
      <c r="C11" s="21" t="s">
        <v>588</v>
      </c>
      <c r="D11" s="19" t="s">
        <v>15</v>
      </c>
      <c r="E11" s="21" t="s">
        <v>16</v>
      </c>
      <c r="F11" s="21">
        <v>100</v>
      </c>
      <c r="G11" s="22" t="s">
        <v>76</v>
      </c>
      <c r="H11" s="22" t="s">
        <v>584</v>
      </c>
      <c r="I11" s="20"/>
      <c r="J11" s="193">
        <f>Table1[[#This Row],[B]]</f>
        <v>0</v>
      </c>
      <c r="K11" s="193">
        <f>Table1[[#This Row],[BE]]</f>
        <v>0</v>
      </c>
      <c r="L11" s="193">
        <f>Table1[[#This Row],[G]]</f>
        <v>0</v>
      </c>
      <c r="M11" s="193">
        <f>Table1[[#This Row],[J]]</f>
        <v>0</v>
      </c>
      <c r="N11" s="193">
        <f>Table1[[#This Row],[N]]</f>
        <v>0</v>
      </c>
      <c r="O11" s="193">
        <f>Table1[[#This Row],[R]]</f>
        <v>0</v>
      </c>
      <c r="P11" s="193">
        <f>Table1[[#This Row],[V]]</f>
        <v>0</v>
      </c>
      <c r="Q11" s="193">
        <f>Table1[[#This Row],[VJ]]</f>
        <v>0</v>
      </c>
      <c r="R11" s="44">
        <f>Table1[[#This Row],[RN]]</f>
        <v>0</v>
      </c>
      <c r="S11" s="193">
        <f>Table1[[#This Row],[Blank]]</f>
        <v>0</v>
      </c>
      <c r="T11" s="45">
        <f>SUM(Table14[[#This Row],[B]:[Blank]])</f>
        <v>0</v>
      </c>
      <c r="U11" s="116">
        <v>1.73</v>
      </c>
      <c r="V11" s="117">
        <f t="shared" ref="V11:V77" si="0">U11*T11</f>
        <v>0</v>
      </c>
      <c r="W11" s="111">
        <v>1.218</v>
      </c>
      <c r="X11" s="111">
        <f>Table14[[#This Row],[Coil Size]]*Table14[[#This Row],[D10]]/1000*VLOOKUP(Table14[[#This Row],[Navision Code]],'TABULAR PRICE LIST'!A:L,11,FALSE)</f>
        <v>0</v>
      </c>
      <c r="Y11" s="111">
        <f>IFERROR(Table14[[#This Row],[Coil Size]]*Table14[[#This Row],[D10]]/1000*VLOOKUP(Table14[[#This Row],[Navision Code]],'TABULAR PRICE LIST'!A:L,10,FALSE),0)</f>
        <v>0</v>
      </c>
      <c r="Z11" s="111">
        <f>VLOOKUP(C11,'TABULAR PRICE LIST'!$A:$L,12,FALSE)</f>
        <v>237</v>
      </c>
      <c r="AA11" s="111">
        <f>Table14[[#This Row],[Coil Size]]*Table14[[#This Row],[D10]]/1000</f>
        <v>0</v>
      </c>
      <c r="AB11" s="111">
        <f>Table14[[#This Row],[Weight/KYD]]*Table14[[#This Row],[D10]]</f>
        <v>0</v>
      </c>
      <c r="AC11" s="177"/>
      <c r="AD11" s="111">
        <v>100</v>
      </c>
    </row>
    <row r="12" spans="1:30" s="192" customFormat="1" ht="19.5" x14ac:dyDescent="0.45">
      <c r="A12" s="189" t="s">
        <v>30</v>
      </c>
      <c r="B12" s="18">
        <f t="shared" ref="B12:B75" si="1">B11+1</f>
        <v>3</v>
      </c>
      <c r="C12" s="21" t="s">
        <v>524</v>
      </c>
      <c r="D12" s="19" t="s">
        <v>15</v>
      </c>
      <c r="E12" s="19" t="s">
        <v>16</v>
      </c>
      <c r="F12" s="19">
        <v>100</v>
      </c>
      <c r="G12" s="22" t="s">
        <v>76</v>
      </c>
      <c r="H12" s="22" t="s">
        <v>523</v>
      </c>
      <c r="I12" s="20"/>
      <c r="J12" s="193">
        <f>Table1[[#This Row],[B]]</f>
        <v>0</v>
      </c>
      <c r="K12" s="193">
        <f>Table1[[#This Row],[BE]]</f>
        <v>0</v>
      </c>
      <c r="L12" s="193">
        <f>Table1[[#This Row],[G]]</f>
        <v>0</v>
      </c>
      <c r="M12" s="193">
        <f>Table1[[#This Row],[J]]</f>
        <v>0</v>
      </c>
      <c r="N12" s="193">
        <f>Table1[[#This Row],[N]]</f>
        <v>0</v>
      </c>
      <c r="O12" s="193">
        <f>Table1[[#This Row],[R]]</f>
        <v>0</v>
      </c>
      <c r="P12" s="194">
        <f>Table1[[#This Row],[V]]</f>
        <v>0</v>
      </c>
      <c r="Q12" s="193">
        <f>Table1[[#This Row],[VJ]]</f>
        <v>0</v>
      </c>
      <c r="R12" s="44">
        <f>Table1[[#This Row],[RN]]</f>
        <v>0</v>
      </c>
      <c r="S12" s="193">
        <f>Table1[[#This Row],[Blank]]</f>
        <v>0</v>
      </c>
      <c r="T12" s="45">
        <f>SUM(Table14[[#This Row],[B]:[Blank]])</f>
        <v>0</v>
      </c>
      <c r="U12" s="116">
        <v>1.96</v>
      </c>
      <c r="V12" s="117">
        <f t="shared" si="0"/>
        <v>0</v>
      </c>
      <c r="W12" s="111">
        <v>1.6309999999999998</v>
      </c>
      <c r="X12" s="111">
        <f>Table14[[#This Row],[Coil Size]]*Table14[[#This Row],[D10]]/1000*VLOOKUP(Table14[[#This Row],[Navision Code]],'TABULAR PRICE LIST'!A:L,11,FALSE)</f>
        <v>0</v>
      </c>
      <c r="Y12" s="111">
        <f>IFERROR(Table14[[#This Row],[Coil Size]]*Table14[[#This Row],[D10]]/1000*VLOOKUP(Table14[[#This Row],[Navision Code]],'TABULAR PRICE LIST'!A:L,10,FALSE),0)</f>
        <v>0</v>
      </c>
      <c r="Z12" s="111">
        <f>VLOOKUP(C12,'TABULAR PRICE LIST'!$A:$L,12,FALSE)</f>
        <v>276</v>
      </c>
      <c r="AA12" s="111">
        <f>Table14[[#This Row],[Coil Size]]*Table14[[#This Row],[D10]]/1000</f>
        <v>0</v>
      </c>
      <c r="AB12" s="111">
        <f>Table14[[#This Row],[Weight/KYD]]*Table14[[#This Row],[D10]]</f>
        <v>0</v>
      </c>
      <c r="AC12" s="177"/>
      <c r="AD12" s="111">
        <v>100</v>
      </c>
    </row>
    <row r="13" spans="1:30" s="192" customFormat="1" ht="19.5" x14ac:dyDescent="0.45">
      <c r="A13" s="189" t="s">
        <v>30</v>
      </c>
      <c r="B13" s="18">
        <f t="shared" si="1"/>
        <v>4</v>
      </c>
      <c r="C13" s="21" t="s">
        <v>589</v>
      </c>
      <c r="D13" s="19" t="s">
        <v>15</v>
      </c>
      <c r="E13" s="19" t="s">
        <v>16</v>
      </c>
      <c r="F13" s="19">
        <v>100</v>
      </c>
      <c r="G13" s="22" t="s">
        <v>76</v>
      </c>
      <c r="H13" s="22" t="s">
        <v>585</v>
      </c>
      <c r="I13" s="20"/>
      <c r="J13" s="193">
        <f>Table1[[#This Row],[B]]</f>
        <v>0</v>
      </c>
      <c r="K13" s="193">
        <f>Table1[[#This Row],[BE]]</f>
        <v>0</v>
      </c>
      <c r="L13" s="193">
        <f>Table1[[#This Row],[G]]</f>
        <v>0</v>
      </c>
      <c r="M13" s="193">
        <f>Table1[[#This Row],[J]]</f>
        <v>0</v>
      </c>
      <c r="N13" s="193">
        <f>Table1[[#This Row],[N]]</f>
        <v>0</v>
      </c>
      <c r="O13" s="193">
        <f>Table1[[#This Row],[R]]</f>
        <v>0</v>
      </c>
      <c r="P13" s="193">
        <f>Table1[[#This Row],[V]]</f>
        <v>0</v>
      </c>
      <c r="Q13" s="193">
        <f>Table1[[#This Row],[VJ]]</f>
        <v>0</v>
      </c>
      <c r="R13" s="44">
        <f>Table1[[#This Row],[RN]]</f>
        <v>0</v>
      </c>
      <c r="S13" s="193">
        <f>Table1[[#This Row],[Blank]]</f>
        <v>0</v>
      </c>
      <c r="T13" s="45">
        <f>SUM(Table14[[#This Row],[B]:[Blank]])</f>
        <v>0</v>
      </c>
      <c r="U13" s="116">
        <v>2.62</v>
      </c>
      <c r="V13" s="117">
        <f t="shared" si="0"/>
        <v>0</v>
      </c>
      <c r="W13" s="111">
        <v>1.929</v>
      </c>
      <c r="X13" s="111">
        <f>Table14[[#This Row],[Coil Size]]*Table14[[#This Row],[D10]]/1000*VLOOKUP(Table14[[#This Row],[Navision Code]],'TABULAR PRICE LIST'!A:L,11,FALSE)</f>
        <v>0</v>
      </c>
      <c r="Y13" s="111">
        <f>IFERROR(Table14[[#This Row],[Coil Size]]*Table14[[#This Row],[D10]]/1000*VLOOKUP(Table14[[#This Row],[Navision Code]],'TABULAR PRICE LIST'!A:L,10,FALSE),0)</f>
        <v>0</v>
      </c>
      <c r="Z13" s="111">
        <f>VLOOKUP(C13,'TABULAR PRICE LIST'!$A:$L,12,FALSE)</f>
        <v>371</v>
      </c>
      <c r="AA13" s="111">
        <f>Table14[[#This Row],[Coil Size]]*Table14[[#This Row],[D10]]/1000</f>
        <v>0</v>
      </c>
      <c r="AB13" s="111">
        <f>Table14[[#This Row],[Weight/KYD]]*Table14[[#This Row],[D10]]</f>
        <v>0</v>
      </c>
      <c r="AC13" s="177"/>
      <c r="AD13" s="111">
        <v>100</v>
      </c>
    </row>
    <row r="14" spans="1:30" s="192" customFormat="1" ht="19.5" x14ac:dyDescent="0.45">
      <c r="A14" s="189" t="s">
        <v>30</v>
      </c>
      <c r="B14" s="18">
        <f t="shared" si="1"/>
        <v>5</v>
      </c>
      <c r="C14" s="21" t="s">
        <v>525</v>
      </c>
      <c r="D14" s="19" t="s">
        <v>15</v>
      </c>
      <c r="E14" s="19" t="s">
        <v>16</v>
      </c>
      <c r="F14" s="19">
        <v>100</v>
      </c>
      <c r="G14" s="22" t="s">
        <v>76</v>
      </c>
      <c r="H14" s="22" t="s">
        <v>526</v>
      </c>
      <c r="I14" s="20"/>
      <c r="J14" s="193">
        <f>Table1[[#This Row],[B]]</f>
        <v>0</v>
      </c>
      <c r="K14" s="193">
        <f>Table1[[#This Row],[BE]]</f>
        <v>0</v>
      </c>
      <c r="L14" s="193">
        <f>Table1[[#This Row],[G]]</f>
        <v>0</v>
      </c>
      <c r="M14" s="193">
        <f>Table1[[#This Row],[J]]</f>
        <v>0</v>
      </c>
      <c r="N14" s="193">
        <f>Table1[[#This Row],[N]]</f>
        <v>0</v>
      </c>
      <c r="O14" s="193">
        <f>Table1[[#This Row],[R]]</f>
        <v>0</v>
      </c>
      <c r="P14" s="193">
        <f>Table1[[#This Row],[V]]</f>
        <v>0</v>
      </c>
      <c r="Q14" s="193">
        <f>Table1[[#This Row],[VJ]]</f>
        <v>0</v>
      </c>
      <c r="R14" s="44">
        <f>Table1[[#This Row],[RN]]</f>
        <v>0</v>
      </c>
      <c r="S14" s="193">
        <f>Table1[[#This Row],[Blank]]</f>
        <v>0</v>
      </c>
      <c r="T14" s="45">
        <f>SUM(Table14[[#This Row],[B]:[Blank]])</f>
        <v>0</v>
      </c>
      <c r="U14" s="116">
        <v>2.81</v>
      </c>
      <c r="V14" s="117">
        <f t="shared" si="0"/>
        <v>0</v>
      </c>
      <c r="W14" s="111">
        <v>2.3759999999999999</v>
      </c>
      <c r="X14" s="111">
        <f>Table14[[#This Row],[Coil Size]]*Table14[[#This Row],[D10]]/1000*VLOOKUP(Table14[[#This Row],[Navision Code]],'TABULAR PRICE LIST'!A:L,11,FALSE)</f>
        <v>0</v>
      </c>
      <c r="Y14" s="111">
        <f>IFERROR(Table14[[#This Row],[Coil Size]]*Table14[[#This Row],[D10]]/1000*VLOOKUP(Table14[[#This Row],[Navision Code]],'TABULAR PRICE LIST'!A:L,10,FALSE),0)</f>
        <v>0</v>
      </c>
      <c r="Z14" s="111">
        <f>VLOOKUP(C14,'TABULAR PRICE LIST'!$A:$L,12,FALSE)</f>
        <v>425</v>
      </c>
      <c r="AA14" s="111">
        <f>Table14[[#This Row],[Coil Size]]*Table14[[#This Row],[D10]]/1000</f>
        <v>0</v>
      </c>
      <c r="AB14" s="111">
        <f>Table14[[#This Row],[Weight/KYD]]*Table14[[#This Row],[D10]]</f>
        <v>0</v>
      </c>
      <c r="AC14" s="177"/>
      <c r="AD14" s="111">
        <v>100</v>
      </c>
    </row>
    <row r="15" spans="1:30" s="192" customFormat="1" ht="19.5" x14ac:dyDescent="0.45">
      <c r="A15" s="189" t="s">
        <v>30</v>
      </c>
      <c r="B15" s="18">
        <f t="shared" si="1"/>
        <v>6</v>
      </c>
      <c r="C15" s="21" t="s">
        <v>527</v>
      </c>
      <c r="D15" s="19" t="s">
        <v>15</v>
      </c>
      <c r="E15" s="19" t="s">
        <v>16</v>
      </c>
      <c r="F15" s="19">
        <v>100</v>
      </c>
      <c r="G15" s="22" t="s">
        <v>76</v>
      </c>
      <c r="H15" s="22" t="s">
        <v>586</v>
      </c>
      <c r="I15" s="20"/>
      <c r="J15" s="193">
        <f>Table1[[#This Row],[B]]</f>
        <v>0</v>
      </c>
      <c r="K15" s="193">
        <f>Table1[[#This Row],[BE]]</f>
        <v>0</v>
      </c>
      <c r="L15" s="193">
        <f>Table1[[#This Row],[G]]</f>
        <v>0</v>
      </c>
      <c r="M15" s="193">
        <f>Table1[[#This Row],[J]]</f>
        <v>0</v>
      </c>
      <c r="N15" s="193">
        <f>Table1[[#This Row],[N]]</f>
        <v>0</v>
      </c>
      <c r="O15" s="193">
        <f>Table1[[#This Row],[R]]</f>
        <v>0</v>
      </c>
      <c r="P15" s="193">
        <f>Table1[[#This Row],[V]]</f>
        <v>0</v>
      </c>
      <c r="Q15" s="193">
        <f>Table1[[#This Row],[VJ]]</f>
        <v>0</v>
      </c>
      <c r="R15" s="44">
        <f>Table1[[#This Row],[RN]]</f>
        <v>0</v>
      </c>
      <c r="S15" s="193">
        <f>Table1[[#This Row],[Blank]]</f>
        <v>0</v>
      </c>
      <c r="T15" s="45">
        <f>SUM(Table14[[#This Row],[B]:[Blank]])</f>
        <v>0</v>
      </c>
      <c r="U15" s="116">
        <v>3.49</v>
      </c>
      <c r="V15" s="117">
        <f t="shared" si="0"/>
        <v>0</v>
      </c>
      <c r="W15" s="111">
        <v>3.0939999999999999</v>
      </c>
      <c r="X15" s="111">
        <f>Table14[[#This Row],[Coil Size]]*Table14[[#This Row],[D10]]/1000*VLOOKUP(Table14[[#This Row],[Navision Code]],'TABULAR PRICE LIST'!A:L,11,FALSE)</f>
        <v>0</v>
      </c>
      <c r="Y15" s="111">
        <f>IFERROR(Table14[[#This Row],[Coil Size]]*Table14[[#This Row],[D10]]/1000*VLOOKUP(Table14[[#This Row],[Navision Code]],'TABULAR PRICE LIST'!A:L,10,FALSE),0)</f>
        <v>0</v>
      </c>
      <c r="Z15" s="111">
        <f>VLOOKUP(C15,'TABULAR PRICE LIST'!$A:$L,12,FALSE)</f>
        <v>499</v>
      </c>
      <c r="AA15" s="111">
        <f>Table14[[#This Row],[Coil Size]]*Table14[[#This Row],[D10]]/1000</f>
        <v>0</v>
      </c>
      <c r="AB15" s="111">
        <f>Table14[[#This Row],[Weight/KYD]]*Table14[[#This Row],[D10]]</f>
        <v>0</v>
      </c>
      <c r="AC15" s="177"/>
      <c r="AD15" s="111">
        <v>100</v>
      </c>
    </row>
    <row r="16" spans="1:30" s="192" customFormat="1" ht="19.5" x14ac:dyDescent="0.45">
      <c r="A16" s="189" t="s">
        <v>30</v>
      </c>
      <c r="B16" s="18">
        <f t="shared" si="1"/>
        <v>7</v>
      </c>
      <c r="C16" s="54" t="s">
        <v>528</v>
      </c>
      <c r="D16" s="19" t="s">
        <v>15</v>
      </c>
      <c r="E16" s="19" t="s">
        <v>16</v>
      </c>
      <c r="F16" s="19">
        <v>100</v>
      </c>
      <c r="G16" s="22" t="s">
        <v>76</v>
      </c>
      <c r="H16" s="22" t="s">
        <v>529</v>
      </c>
      <c r="I16" s="20"/>
      <c r="J16" s="193">
        <f>Table1[[#This Row],[B]]</f>
        <v>0</v>
      </c>
      <c r="K16" s="193">
        <f>Table1[[#This Row],[BE]]</f>
        <v>0</v>
      </c>
      <c r="L16" s="193">
        <f>Table1[[#This Row],[G]]</f>
        <v>0</v>
      </c>
      <c r="M16" s="193">
        <f>Table1[[#This Row],[J]]</f>
        <v>0</v>
      </c>
      <c r="N16" s="193">
        <f>Table1[[#This Row],[N]]</f>
        <v>0</v>
      </c>
      <c r="O16" s="193">
        <f>Table1[[#This Row],[R]]</f>
        <v>0</v>
      </c>
      <c r="P16" s="193">
        <f>Table1[[#This Row],[V]]</f>
        <v>0</v>
      </c>
      <c r="Q16" s="193">
        <f>Table1[[#This Row],[VJ]]</f>
        <v>0</v>
      </c>
      <c r="R16" s="44">
        <f>Table1[[#This Row],[RN]]</f>
        <v>0</v>
      </c>
      <c r="S16" s="193">
        <f>Table1[[#This Row],[Blank]]</f>
        <v>0</v>
      </c>
      <c r="T16" s="45">
        <f>SUM(Table14[[#This Row],[B]:[Blank]])</f>
        <v>0</v>
      </c>
      <c r="U16" s="116">
        <v>4.4800000000000004</v>
      </c>
      <c r="V16" s="117">
        <f t="shared" si="0"/>
        <v>0</v>
      </c>
      <c r="W16" s="111">
        <v>4.6159999999999997</v>
      </c>
      <c r="X16" s="111">
        <f>Table14[[#This Row],[Coil Size]]*Table14[[#This Row],[D10]]/1000*VLOOKUP(Table14[[#This Row],[Navision Code]],'TABULAR PRICE LIST'!A:L,11,FALSE)</f>
        <v>0</v>
      </c>
      <c r="Y16" s="111">
        <f>IFERROR(Table14[[#This Row],[Coil Size]]*Table14[[#This Row],[D10]]/1000*VLOOKUP(Table14[[#This Row],[Navision Code]],'TABULAR PRICE LIST'!A:L,10,FALSE),0)</f>
        <v>0</v>
      </c>
      <c r="Z16" s="111">
        <f>VLOOKUP(C16,'TABULAR PRICE LIST'!$A:$L,12,FALSE)</f>
        <v>666</v>
      </c>
      <c r="AA16" s="111">
        <f>Table14[[#This Row],[Coil Size]]*Table14[[#This Row],[D10]]/1000</f>
        <v>0</v>
      </c>
      <c r="AB16" s="111">
        <f>Table14[[#This Row],[Weight/KYD]]*Table14[[#This Row],[D10]]</f>
        <v>0</v>
      </c>
      <c r="AC16" s="177"/>
      <c r="AD16" s="111">
        <v>100</v>
      </c>
    </row>
    <row r="17" spans="1:30" s="192" customFormat="1" ht="19.5" x14ac:dyDescent="0.45">
      <c r="A17" s="189" t="s">
        <v>30</v>
      </c>
      <c r="B17" s="18">
        <f t="shared" si="1"/>
        <v>8</v>
      </c>
      <c r="C17" s="21" t="s">
        <v>530</v>
      </c>
      <c r="D17" s="19" t="s">
        <v>15</v>
      </c>
      <c r="E17" s="19" t="s">
        <v>16</v>
      </c>
      <c r="F17" s="19">
        <v>100</v>
      </c>
      <c r="G17" s="22" t="s">
        <v>76</v>
      </c>
      <c r="H17" s="22" t="s">
        <v>587</v>
      </c>
      <c r="I17" s="20"/>
      <c r="J17" s="193">
        <f>Table1[[#This Row],[B]]</f>
        <v>0</v>
      </c>
      <c r="K17" s="193">
        <f>Table1[[#This Row],[BE]]</f>
        <v>0</v>
      </c>
      <c r="L17" s="193">
        <f>Table1[[#This Row],[G]]</f>
        <v>0</v>
      </c>
      <c r="M17" s="193">
        <f>Table1[[#This Row],[J]]</f>
        <v>0</v>
      </c>
      <c r="N17" s="193">
        <f>Table1[[#This Row],[N]]</f>
        <v>0</v>
      </c>
      <c r="O17" s="193">
        <f>Table1[[#This Row],[R]]</f>
        <v>0</v>
      </c>
      <c r="P17" s="193">
        <f>Table1[[#This Row],[V]]</f>
        <v>0</v>
      </c>
      <c r="Q17" s="193">
        <f>Table1[[#This Row],[VJ]]</f>
        <v>0</v>
      </c>
      <c r="R17" s="44">
        <f>Table1[[#This Row],[RN]]</f>
        <v>0</v>
      </c>
      <c r="S17" s="193">
        <f>Table1[[#This Row],[Blank]]</f>
        <v>0</v>
      </c>
      <c r="T17" s="45">
        <f>SUM(Table14[[#This Row],[B]:[Blank]])</f>
        <v>0</v>
      </c>
      <c r="U17" s="116">
        <v>6.08</v>
      </c>
      <c r="V17" s="117">
        <f t="shared" si="0"/>
        <v>0</v>
      </c>
      <c r="W17" s="111">
        <v>7.7370000000000001</v>
      </c>
      <c r="X17" s="111">
        <f>Table14[[#This Row],[Coil Size]]*Table14[[#This Row],[D10]]/1000*VLOOKUP(Table14[[#This Row],[Navision Code]],'TABULAR PRICE LIST'!A:L,11,FALSE)</f>
        <v>0</v>
      </c>
      <c r="Y17" s="111">
        <f>IFERROR(Table14[[#This Row],[Coil Size]]*Table14[[#This Row],[D10]]/1000*VLOOKUP(Table14[[#This Row],[Navision Code]],'TABULAR PRICE LIST'!A:L,10,FALSE),0)</f>
        <v>0</v>
      </c>
      <c r="Z17" s="111">
        <f>VLOOKUP(C17,'TABULAR PRICE LIST'!$A:$L,12,FALSE)</f>
        <v>984</v>
      </c>
      <c r="AA17" s="111">
        <f>Table14[[#This Row],[Coil Size]]*Table14[[#This Row],[D10]]/1000</f>
        <v>0</v>
      </c>
      <c r="AB17" s="111">
        <f>Table14[[#This Row],[Weight/KYD]]*Table14[[#This Row],[D10]]</f>
        <v>0</v>
      </c>
      <c r="AC17" s="177"/>
      <c r="AD17" s="111">
        <v>100</v>
      </c>
    </row>
    <row r="18" spans="1:30" s="192" customFormat="1" ht="19.5" x14ac:dyDescent="0.45">
      <c r="A18" s="189" t="s">
        <v>30</v>
      </c>
      <c r="B18" s="18">
        <f t="shared" si="1"/>
        <v>9</v>
      </c>
      <c r="C18" s="19" t="s">
        <v>77</v>
      </c>
      <c r="D18" s="19" t="s">
        <v>15</v>
      </c>
      <c r="E18" s="19" t="s">
        <v>16</v>
      </c>
      <c r="F18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"),AD18,Table14[[#This Row],[Cod No]])</f>
        <v>100</v>
      </c>
      <c r="G18" s="22" t="s">
        <v>76</v>
      </c>
      <c r="H18" s="20">
        <v>10</v>
      </c>
      <c r="I18" s="20"/>
      <c r="J18" s="193">
        <f>Table1[[#This Row],[B]]</f>
        <v>0</v>
      </c>
      <c r="K18" s="193">
        <f>Table1[[#This Row],[BE]]</f>
        <v>0</v>
      </c>
      <c r="L18" s="193">
        <f>Table1[[#This Row],[G]]</f>
        <v>0</v>
      </c>
      <c r="M18" s="193">
        <f>Table1[[#This Row],[J]]</f>
        <v>0</v>
      </c>
      <c r="N18" s="193">
        <f>Table1[[#This Row],[N]]</f>
        <v>0</v>
      </c>
      <c r="O18" s="193">
        <f>Table1[[#This Row],[R]]</f>
        <v>0</v>
      </c>
      <c r="P18" s="193">
        <f>Table1[[#This Row],[V]]</f>
        <v>0</v>
      </c>
      <c r="Q18" s="193">
        <f>Table1[[#This Row],[VJ]]</f>
        <v>0</v>
      </c>
      <c r="R18" s="44">
        <f>Table1[[#This Row],[RN]]</f>
        <v>0</v>
      </c>
      <c r="S18" s="193">
        <f>Table1[[#This Row],[Blank]]</f>
        <v>0</v>
      </c>
      <c r="T18" s="45">
        <f>SUM(Table14[[#This Row],[B]:[Blank]])</f>
        <v>0</v>
      </c>
      <c r="U18" s="116">
        <v>10.51</v>
      </c>
      <c r="V18" s="118">
        <f t="shared" si="0"/>
        <v>0</v>
      </c>
      <c r="W18" s="111">
        <v>12.339</v>
      </c>
      <c r="X18" s="111">
        <f>Table14[[#This Row],[Coil Size]]*Table14[[#This Row],[D10]]/1000*VLOOKUP(Table14[[#This Row],[Navision Code]],'TABULAR PRICE LIST'!A:L,11,FALSE)</f>
        <v>0</v>
      </c>
      <c r="Y18" s="111">
        <f>IFERROR(Table14[[#This Row],[Coil Size]]*Table14[[#This Row],[D10]]/1000*VLOOKUP(Table14[[#This Row],[Navision Code]],'TABULAR PRICE LIST'!A:L,10,FALSE),0)</f>
        <v>0</v>
      </c>
      <c r="Z18" s="111">
        <f>VLOOKUP(C18,'TABULAR PRICE LIST'!$A:$L,12,FALSE)</f>
        <v>1687</v>
      </c>
      <c r="AA18" s="111">
        <f>Table14[[#This Row],[Coil Size]]*Table14[[#This Row],[D10]]/1000</f>
        <v>0</v>
      </c>
      <c r="AB18" s="111">
        <f>Table14[[#This Row],[Weight/KYD]]*Table14[[#This Row],[D10]]</f>
        <v>0</v>
      </c>
      <c r="AC18" s="177"/>
      <c r="AD18" s="111">
        <v>100</v>
      </c>
    </row>
    <row r="19" spans="1:30" s="192" customFormat="1" ht="19.5" x14ac:dyDescent="0.45">
      <c r="A19" s="189" t="s">
        <v>30</v>
      </c>
      <c r="B19" s="18">
        <f t="shared" si="1"/>
        <v>10</v>
      </c>
      <c r="C19" s="19" t="s">
        <v>17</v>
      </c>
      <c r="D19" s="19" t="s">
        <v>15</v>
      </c>
      <c r="E19" s="19" t="s">
        <v>16</v>
      </c>
      <c r="F19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"),AD19,Table14[[#This Row],[Cod No]])</f>
        <v>100</v>
      </c>
      <c r="G19" s="20" t="s">
        <v>76</v>
      </c>
      <c r="H19" s="20">
        <v>16</v>
      </c>
      <c r="I19" s="20"/>
      <c r="J19" s="193">
        <f>Table1[[#This Row],[B]]</f>
        <v>0</v>
      </c>
      <c r="K19" s="193">
        <f>Table1[[#This Row],[BE]]</f>
        <v>0</v>
      </c>
      <c r="L19" s="193">
        <f>Table1[[#This Row],[G]]</f>
        <v>0</v>
      </c>
      <c r="M19" s="193">
        <f>Table1[[#This Row],[J]]</f>
        <v>0</v>
      </c>
      <c r="N19" s="193">
        <f>Table1[[#This Row],[N]]</f>
        <v>0</v>
      </c>
      <c r="O19" s="193">
        <f>Table1[[#This Row],[R]]</f>
        <v>0</v>
      </c>
      <c r="P19" s="193">
        <f>Table1[[#This Row],[V]]</f>
        <v>0</v>
      </c>
      <c r="Q19" s="193">
        <f>Table1[[#This Row],[VJ]]</f>
        <v>0</v>
      </c>
      <c r="R19" s="44">
        <f>Table1[[#This Row],[RN]]</f>
        <v>0</v>
      </c>
      <c r="S19" s="193">
        <f>Table1[[#This Row],[Blank]]</f>
        <v>0</v>
      </c>
      <c r="T19" s="45">
        <f>SUM(Table14[[#This Row],[B]:[Blank]])</f>
        <v>0</v>
      </c>
      <c r="U19" s="116">
        <v>15.28</v>
      </c>
      <c r="V19" s="118">
        <f t="shared" si="0"/>
        <v>0</v>
      </c>
      <c r="W19" s="111">
        <v>19.468</v>
      </c>
      <c r="X19" s="111">
        <f>Table14[[#This Row],[Coil Size]]*Table14[[#This Row],[D10]]/1000*VLOOKUP(Table14[[#This Row],[Navision Code]],'TABULAR PRICE LIST'!A:L,11,FALSE)</f>
        <v>0</v>
      </c>
      <c r="Y19" s="111">
        <f>IFERROR(Table14[[#This Row],[Coil Size]]*Table14[[#This Row],[D10]]/1000*VLOOKUP(Table14[[#This Row],[Navision Code]],'TABULAR PRICE LIST'!A:L,10,FALSE),0)</f>
        <v>0</v>
      </c>
      <c r="Z19" s="111">
        <f>VLOOKUP(C19,'TABULAR PRICE LIST'!$A:$L,12,FALSE)</f>
        <v>2753</v>
      </c>
      <c r="AA19" s="111">
        <f>Table14[[#This Row],[Coil Size]]*Table14[[#This Row],[D10]]/1000</f>
        <v>0</v>
      </c>
      <c r="AB19" s="111">
        <f>Table14[[#This Row],[Weight/KYD]]*Table14[[#This Row],[D10]]</f>
        <v>0</v>
      </c>
      <c r="AC19" s="177"/>
      <c r="AD19" s="111">
        <v>100</v>
      </c>
    </row>
    <row r="20" spans="1:30" s="192" customFormat="1" ht="19.5" x14ac:dyDescent="0.45">
      <c r="A20" s="189" t="s">
        <v>30</v>
      </c>
      <c r="B20" s="18">
        <f t="shared" si="1"/>
        <v>11</v>
      </c>
      <c r="C20" s="19" t="s">
        <v>78</v>
      </c>
      <c r="D20" s="19" t="s">
        <v>15</v>
      </c>
      <c r="E20" s="19" t="s">
        <v>16</v>
      </c>
      <c r="F20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"),AD20,Table14[[#This Row],[Cod No]])</f>
        <v>100</v>
      </c>
      <c r="G20" s="20" t="s">
        <v>76</v>
      </c>
      <c r="H20" s="20">
        <v>25</v>
      </c>
      <c r="I20" s="20"/>
      <c r="J20" s="193">
        <f>Table1[[#This Row],[B]]</f>
        <v>0</v>
      </c>
      <c r="K20" s="193">
        <f>Table1[[#This Row],[BE]]</f>
        <v>0</v>
      </c>
      <c r="L20" s="193">
        <f>Table1[[#This Row],[G]]</f>
        <v>0</v>
      </c>
      <c r="M20" s="193">
        <f>Table1[[#This Row],[J]]</f>
        <v>0</v>
      </c>
      <c r="N20" s="193">
        <f>Table1[[#This Row],[N]]</f>
        <v>0</v>
      </c>
      <c r="O20" s="193">
        <f>Table1[[#This Row],[R]]</f>
        <v>0</v>
      </c>
      <c r="P20" s="193">
        <f>Table1[[#This Row],[V]]</f>
        <v>0</v>
      </c>
      <c r="Q20" s="193">
        <f>Table1[[#This Row],[VJ]]</f>
        <v>0</v>
      </c>
      <c r="R20" s="44">
        <f>Table1[[#This Row],[RN]]</f>
        <v>0</v>
      </c>
      <c r="S20" s="193">
        <f>Table1[[#This Row],[Blank]]</f>
        <v>0</v>
      </c>
      <c r="T20" s="45">
        <f>SUM(Table14[[#This Row],[B]:[Blank]])</f>
        <v>0</v>
      </c>
      <c r="U20" s="116">
        <v>23.89</v>
      </c>
      <c r="V20" s="118">
        <f t="shared" si="0"/>
        <v>0</v>
      </c>
      <c r="W20" s="111">
        <v>27.054000000000002</v>
      </c>
      <c r="X20" s="111">
        <f>Table14[[#This Row],[Coil Size]]*Table14[[#This Row],[D10]]/1000*VLOOKUP(Table14[[#This Row],[Navision Code]],'TABULAR PRICE LIST'!A:L,11,FALSE)</f>
        <v>0</v>
      </c>
      <c r="Y20" s="111">
        <f>IFERROR(Table14[[#This Row],[Coil Size]]*Table14[[#This Row],[D10]]/1000*VLOOKUP(Table14[[#This Row],[Navision Code]],'TABULAR PRICE LIST'!A:L,10,FALSE),0)</f>
        <v>0</v>
      </c>
      <c r="Z20" s="111">
        <f>VLOOKUP(C20,'TABULAR PRICE LIST'!$A:$L,12,FALSE)</f>
        <v>4266</v>
      </c>
      <c r="AA20" s="111">
        <f>Table14[[#This Row],[Coil Size]]*Table14[[#This Row],[D10]]/1000</f>
        <v>0</v>
      </c>
      <c r="AB20" s="111">
        <f>Table14[[#This Row],[Weight/KYD]]*Table14[[#This Row],[D10]]</f>
        <v>0</v>
      </c>
      <c r="AC20" s="177"/>
      <c r="AD20" s="111">
        <v>100</v>
      </c>
    </row>
    <row r="21" spans="1:30" s="192" customFormat="1" ht="20" thickBot="1" x14ac:dyDescent="0.5">
      <c r="A21" s="189" t="s">
        <v>30</v>
      </c>
      <c r="B21" s="23">
        <f t="shared" si="1"/>
        <v>12</v>
      </c>
      <c r="C21" s="24" t="s">
        <v>210</v>
      </c>
      <c r="D21" s="19" t="s">
        <v>15</v>
      </c>
      <c r="E21" s="19" t="s">
        <v>16</v>
      </c>
      <c r="F21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"),AD21,Table14[[#This Row],[Cod No]])</f>
        <v>100</v>
      </c>
      <c r="G21" s="25" t="s">
        <v>76</v>
      </c>
      <c r="H21" s="25">
        <v>35</v>
      </c>
      <c r="I21" s="25"/>
      <c r="J21" s="195">
        <f>Table1[[#This Row],[B]]</f>
        <v>0</v>
      </c>
      <c r="K21" s="195">
        <f>Table1[[#This Row],[BE]]</f>
        <v>0</v>
      </c>
      <c r="L21" s="195">
        <f>Table1[[#This Row],[G]]</f>
        <v>0</v>
      </c>
      <c r="M21" s="195">
        <f>Table1[[#This Row],[J]]</f>
        <v>0</v>
      </c>
      <c r="N21" s="195">
        <f>Table1[[#This Row],[N]]</f>
        <v>0</v>
      </c>
      <c r="O21" s="195">
        <f>Table1[[#This Row],[R]]</f>
        <v>0</v>
      </c>
      <c r="P21" s="195">
        <f>Table1[[#This Row],[V]]</f>
        <v>0</v>
      </c>
      <c r="Q21" s="195">
        <f>Table1[[#This Row],[VJ]]</f>
        <v>0</v>
      </c>
      <c r="R21" s="46">
        <f>Table1[[#This Row],[RN]]</f>
        <v>0</v>
      </c>
      <c r="S21" s="195">
        <f>Table1[[#This Row],[Blank]]</f>
        <v>0</v>
      </c>
      <c r="T21" s="47">
        <f>SUM(Table14[[#This Row],[B]:[Blank]])</f>
        <v>0</v>
      </c>
      <c r="U21" s="119">
        <v>0</v>
      </c>
      <c r="V21" s="120">
        <f t="shared" si="0"/>
        <v>0</v>
      </c>
      <c r="W21" s="112">
        <v>0.55300000000000005</v>
      </c>
      <c r="X21" s="112">
        <f>Table14[[#This Row],[Coil Size]]*Table14[[#This Row],[D10]]/1000*VLOOKUP(Table14[[#This Row],[Navision Code]],'TABULAR PRICE LIST'!A:L,11,FALSE)</f>
        <v>0</v>
      </c>
      <c r="Y21" s="112">
        <f>IFERROR(Table14[[#This Row],[Coil Size]]*Table14[[#This Row],[D10]]/1000*VLOOKUP(Table14[[#This Row],[Navision Code]],'TABULAR PRICE LIST'!A:L,10,FALSE),0)</f>
        <v>0</v>
      </c>
      <c r="Z21" s="112">
        <f>VLOOKUP(C21,'TABULAR PRICE LIST'!$A:$L,12,FALSE)</f>
        <v>5914</v>
      </c>
      <c r="AA21" s="112">
        <f>Table14[[#This Row],[Coil Size]]*Table14[[#This Row],[D10]]/1000</f>
        <v>0</v>
      </c>
      <c r="AB21" s="112">
        <f>Table14[[#This Row],[Weight/KYD]]*Table14[[#This Row],[D10]]</f>
        <v>0</v>
      </c>
      <c r="AC21" s="177"/>
      <c r="AD21" s="112">
        <v>100</v>
      </c>
    </row>
    <row r="22" spans="1:30" s="192" customFormat="1" ht="19.5" x14ac:dyDescent="0.45">
      <c r="A22" s="189" t="s">
        <v>30</v>
      </c>
      <c r="B22" s="15">
        <f t="shared" si="1"/>
        <v>13</v>
      </c>
      <c r="C22" s="16" t="s">
        <v>79</v>
      </c>
      <c r="D22" s="16" t="s">
        <v>15</v>
      </c>
      <c r="E22" s="16" t="s">
        <v>16</v>
      </c>
      <c r="F22" s="16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"),AD22,Table14[[#This Row],[Cod No]])</f>
        <v>100</v>
      </c>
      <c r="G22" s="17" t="s">
        <v>80</v>
      </c>
      <c r="H22" s="17">
        <v>0.75</v>
      </c>
      <c r="I22" s="17"/>
      <c r="J22" s="190">
        <f>Table1[[#This Row],[B]]</f>
        <v>0</v>
      </c>
      <c r="K22" s="190">
        <f>Table1[[#This Row],[BE]]</f>
        <v>0</v>
      </c>
      <c r="L22" s="190">
        <f>Table1[[#This Row],[G]]</f>
        <v>0</v>
      </c>
      <c r="M22" s="190">
        <f>Table1[[#This Row],[J]]</f>
        <v>0</v>
      </c>
      <c r="N22" s="190">
        <f>Table1[[#This Row],[N]]</f>
        <v>0</v>
      </c>
      <c r="O22" s="190">
        <f>Table1[[#This Row],[R]]</f>
        <v>0</v>
      </c>
      <c r="P22" s="190">
        <f>Table1[[#This Row],[V]]</f>
        <v>0</v>
      </c>
      <c r="Q22" s="190">
        <f>Table1[[#This Row],[VJ]]</f>
        <v>0</v>
      </c>
      <c r="R22" s="42">
        <f>Table1[[#This Row],[RN]]</f>
        <v>0</v>
      </c>
      <c r="S22" s="190">
        <f>Table1[[#This Row],[Blank]]</f>
        <v>0</v>
      </c>
      <c r="T22" s="43">
        <f>SUM(Table14[[#This Row],[B]:[Blank]])</f>
        <v>0</v>
      </c>
      <c r="U22" s="114">
        <v>1.018</v>
      </c>
      <c r="V22" s="115">
        <f t="shared" si="0"/>
        <v>0</v>
      </c>
      <c r="W22" s="191">
        <v>0.73799999999999999</v>
      </c>
      <c r="X22" s="113" t="e">
        <f>Table14[[#This Row],[Coil Size]]*Table14[[#This Row],[D10]]/1000*VLOOKUP(Table14[[#This Row],[Navision Code]],'TABULAR PRICE LIST'!A:L,11,FALSE)</f>
        <v>#N/A</v>
      </c>
      <c r="Y22" s="113">
        <f>IFERROR(Table14[[#This Row],[Coil Size]]*Table14[[#This Row],[D10]]/1000*VLOOKUP(Table14[[#This Row],[Navision Code]],'TABULAR PRICE LIST'!A:L,10,FALSE),0)</f>
        <v>0</v>
      </c>
      <c r="Z22" s="113" t="e">
        <f>VLOOKUP(C22,'TABULAR PRICE LIST'!$A:$L,12,FALSE)</f>
        <v>#N/A</v>
      </c>
      <c r="AA22" s="113">
        <f>Table14[[#This Row],[Coil Size]]*Table14[[#This Row],[D10]]/1000</f>
        <v>0</v>
      </c>
      <c r="AB22" s="191">
        <f>Table14[[#This Row],[Weight/KYD]]*Table14[[#This Row],[D10]]</f>
        <v>0</v>
      </c>
      <c r="AC22" s="177"/>
      <c r="AD22" s="191">
        <v>100</v>
      </c>
    </row>
    <row r="23" spans="1:30" s="192" customFormat="1" ht="19.5" x14ac:dyDescent="0.45">
      <c r="A23" s="189" t="s">
        <v>30</v>
      </c>
      <c r="B23" s="18">
        <f t="shared" si="1"/>
        <v>14</v>
      </c>
      <c r="C23" s="19" t="s">
        <v>81</v>
      </c>
      <c r="D23" s="19" t="s">
        <v>15</v>
      </c>
      <c r="E23" s="19" t="s">
        <v>16</v>
      </c>
      <c r="F23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"),AD23,Table14[[#This Row],[Cod No]])</f>
        <v>100</v>
      </c>
      <c r="G23" s="20" t="s">
        <v>80</v>
      </c>
      <c r="H23" s="20">
        <v>1</v>
      </c>
      <c r="I23" s="20"/>
      <c r="J23" s="193">
        <f>Table1[[#This Row],[B]]</f>
        <v>0</v>
      </c>
      <c r="K23" s="193">
        <f>Table1[[#This Row],[BE]]</f>
        <v>0</v>
      </c>
      <c r="L23" s="193">
        <f>Table1[[#This Row],[G]]</f>
        <v>0</v>
      </c>
      <c r="M23" s="193">
        <f>Table1[[#This Row],[J]]</f>
        <v>0</v>
      </c>
      <c r="N23" s="193">
        <f>Table1[[#This Row],[N]]</f>
        <v>0</v>
      </c>
      <c r="O23" s="193">
        <f>Table1[[#This Row],[R]]</f>
        <v>0</v>
      </c>
      <c r="P23" s="193">
        <f>Table1[[#This Row],[V]]</f>
        <v>0</v>
      </c>
      <c r="Q23" s="193">
        <f>Table1[[#This Row],[VJ]]</f>
        <v>0</v>
      </c>
      <c r="R23" s="44">
        <f>Table1[[#This Row],[RN]]</f>
        <v>0</v>
      </c>
      <c r="S23" s="193">
        <f>Table1[[#This Row],[Blank]]</f>
        <v>0</v>
      </c>
      <c r="T23" s="45">
        <f>SUM(Table14[[#This Row],[B]:[Blank]])</f>
        <v>0</v>
      </c>
      <c r="U23" s="116">
        <v>1.212</v>
      </c>
      <c r="V23" s="118">
        <f t="shared" si="0"/>
        <v>0</v>
      </c>
      <c r="W23" s="111">
        <v>1.085</v>
      </c>
      <c r="X23" s="111">
        <f>Table14[[#This Row],[Coil Size]]*Table14[[#This Row],[D10]]/1000*VLOOKUP(Table14[[#This Row],[Navision Code]],'TABULAR PRICE LIST'!A:L,11,FALSE)</f>
        <v>0</v>
      </c>
      <c r="Y23" s="111">
        <f>IFERROR(Table14[[#This Row],[Coil Size]]*Table14[[#This Row],[D10]]/1000*VLOOKUP(Table14[[#This Row],[Navision Code]],'TABULAR PRICE LIST'!A:L,10,FALSE),0)</f>
        <v>0</v>
      </c>
      <c r="Z23" s="111">
        <f>VLOOKUP(C23,'TABULAR PRICE LIST'!$A:$L,12,FALSE)</f>
        <v>217</v>
      </c>
      <c r="AA23" s="111">
        <f>Table14[[#This Row],[Coil Size]]*Table14[[#This Row],[D10]]/1000</f>
        <v>0</v>
      </c>
      <c r="AB23" s="111">
        <f>Table14[[#This Row],[Weight/KYD]]*Table14[[#This Row],[D10]]</f>
        <v>0</v>
      </c>
      <c r="AC23" s="177"/>
      <c r="AD23" s="111">
        <v>100</v>
      </c>
    </row>
    <row r="24" spans="1:30" s="192" customFormat="1" ht="19.5" x14ac:dyDescent="0.45">
      <c r="A24" s="189" t="s">
        <v>30</v>
      </c>
      <c r="B24" s="18">
        <f t="shared" si="1"/>
        <v>15</v>
      </c>
      <c r="C24" s="19" t="s">
        <v>82</v>
      </c>
      <c r="D24" s="19" t="s">
        <v>15</v>
      </c>
      <c r="E24" s="19" t="s">
        <v>16</v>
      </c>
      <c r="F24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"),AD24,Table14[[#This Row],[Cod No]])</f>
        <v>100</v>
      </c>
      <c r="G24" s="20" t="s">
        <v>80</v>
      </c>
      <c r="H24" s="20">
        <v>1.5</v>
      </c>
      <c r="I24" s="20"/>
      <c r="J24" s="193">
        <f>Table1[[#This Row],[B]]</f>
        <v>0</v>
      </c>
      <c r="K24" s="193">
        <f>Table1[[#This Row],[BE]]</f>
        <v>0</v>
      </c>
      <c r="L24" s="193">
        <f>Table1[[#This Row],[G]]</f>
        <v>0</v>
      </c>
      <c r="M24" s="193">
        <f>Table1[[#This Row],[J]]</f>
        <v>0</v>
      </c>
      <c r="N24" s="193">
        <f>Table1[[#This Row],[N]]</f>
        <v>0</v>
      </c>
      <c r="O24" s="193">
        <f>Table1[[#This Row],[R]]</f>
        <v>0</v>
      </c>
      <c r="P24" s="193">
        <f>Table1[[#This Row],[V]]</f>
        <v>0</v>
      </c>
      <c r="Q24" s="193">
        <f>Table1[[#This Row],[VJ]]</f>
        <v>0</v>
      </c>
      <c r="R24" s="44">
        <f>Table1[[#This Row],[RN]]</f>
        <v>0</v>
      </c>
      <c r="S24" s="193">
        <f>Table1[[#This Row],[Blank]]</f>
        <v>0</v>
      </c>
      <c r="T24" s="45">
        <f>SUM(Table14[[#This Row],[B]:[Blank]])</f>
        <v>0</v>
      </c>
      <c r="U24" s="116">
        <v>1.635</v>
      </c>
      <c r="V24" s="118">
        <f t="shared" si="0"/>
        <v>0</v>
      </c>
      <c r="W24" s="111">
        <v>1.518</v>
      </c>
      <c r="X24" s="111">
        <f>Table14[[#This Row],[Coil Size]]*Table14[[#This Row],[D10]]/1000*VLOOKUP(Table14[[#This Row],[Navision Code]],'TABULAR PRICE LIST'!A:L,11,FALSE)</f>
        <v>0</v>
      </c>
      <c r="Y24" s="111">
        <f>IFERROR(Table14[[#This Row],[Coil Size]]*Table14[[#This Row],[D10]]/1000*VLOOKUP(Table14[[#This Row],[Navision Code]],'TABULAR PRICE LIST'!A:L,10,FALSE),0)</f>
        <v>0</v>
      </c>
      <c r="Z24" s="111">
        <f>VLOOKUP(C24,'TABULAR PRICE LIST'!$A:$L,12,FALSE)</f>
        <v>300</v>
      </c>
      <c r="AA24" s="111">
        <f>Table14[[#This Row],[Coil Size]]*Table14[[#This Row],[D10]]/1000</f>
        <v>0</v>
      </c>
      <c r="AB24" s="111">
        <f>Table14[[#This Row],[Weight/KYD]]*Table14[[#This Row],[D10]]</f>
        <v>0</v>
      </c>
      <c r="AC24" s="177"/>
      <c r="AD24" s="111">
        <v>100</v>
      </c>
    </row>
    <row r="25" spans="1:30" s="192" customFormat="1" ht="19.5" x14ac:dyDescent="0.45">
      <c r="A25" s="189" t="s">
        <v>30</v>
      </c>
      <c r="B25" s="18">
        <f t="shared" si="1"/>
        <v>16</v>
      </c>
      <c r="C25" s="19" t="s">
        <v>83</v>
      </c>
      <c r="D25" s="19" t="s">
        <v>15</v>
      </c>
      <c r="E25" s="19" t="s">
        <v>16</v>
      </c>
      <c r="F25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"),AD25,Table14[[#This Row],[Cod No]])</f>
        <v>100</v>
      </c>
      <c r="G25" s="20" t="s">
        <v>80</v>
      </c>
      <c r="H25" s="20">
        <v>2</v>
      </c>
      <c r="I25" s="20"/>
      <c r="J25" s="193">
        <f>Table1[[#This Row],[B]]</f>
        <v>0</v>
      </c>
      <c r="K25" s="193">
        <f>Table1[[#This Row],[BE]]</f>
        <v>0</v>
      </c>
      <c r="L25" s="193">
        <f>Table1[[#This Row],[G]]</f>
        <v>0</v>
      </c>
      <c r="M25" s="193">
        <f>Table1[[#This Row],[J]]</f>
        <v>0</v>
      </c>
      <c r="N25" s="193">
        <f>Table1[[#This Row],[N]]</f>
        <v>0</v>
      </c>
      <c r="O25" s="193">
        <f>Table1[[#This Row],[R]]</f>
        <v>0</v>
      </c>
      <c r="P25" s="193">
        <f>Table1[[#This Row],[V]]</f>
        <v>0</v>
      </c>
      <c r="Q25" s="193">
        <f>Table1[[#This Row],[VJ]]</f>
        <v>0</v>
      </c>
      <c r="R25" s="44">
        <f>Table1[[#This Row],[RN]]</f>
        <v>0</v>
      </c>
      <c r="S25" s="193">
        <f>Table1[[#This Row],[Blank]]</f>
        <v>0</v>
      </c>
      <c r="T25" s="45">
        <f>SUM(Table14[[#This Row],[B]:[Blank]])</f>
        <v>0</v>
      </c>
      <c r="U25" s="116">
        <v>2.3620000000000001</v>
      </c>
      <c r="V25" s="118">
        <f t="shared" si="0"/>
        <v>0</v>
      </c>
      <c r="W25" s="111">
        <v>1.8079999999999998</v>
      </c>
      <c r="X25" s="111">
        <f>Table14[[#This Row],[Coil Size]]*Table14[[#This Row],[D10]]/1000*VLOOKUP(Table14[[#This Row],[Navision Code]],'TABULAR PRICE LIST'!A:L,11,FALSE)</f>
        <v>0</v>
      </c>
      <c r="Y25" s="111">
        <f>IFERROR(Table14[[#This Row],[Coil Size]]*Table14[[#This Row],[D10]]/1000*VLOOKUP(Table14[[#This Row],[Navision Code]],'TABULAR PRICE LIST'!A:L,10,FALSE),0)</f>
        <v>0</v>
      </c>
      <c r="Z25" s="111">
        <f>VLOOKUP(C25,'TABULAR PRICE LIST'!$A:$L,12,FALSE)</f>
        <v>437</v>
      </c>
      <c r="AA25" s="111">
        <f>Table14[[#This Row],[Coil Size]]*Table14[[#This Row],[D10]]/1000</f>
        <v>0</v>
      </c>
      <c r="AB25" s="111">
        <f>Table14[[#This Row],[Weight/KYD]]*Table14[[#This Row],[D10]]</f>
        <v>0</v>
      </c>
      <c r="AC25" s="177"/>
      <c r="AD25" s="111">
        <v>100</v>
      </c>
    </row>
    <row r="26" spans="1:30" s="192" customFormat="1" ht="19.5" x14ac:dyDescent="0.45">
      <c r="A26" s="189" t="s">
        <v>30</v>
      </c>
      <c r="B26" s="18">
        <f t="shared" si="1"/>
        <v>17</v>
      </c>
      <c r="C26" s="19" t="s">
        <v>84</v>
      </c>
      <c r="D26" s="19" t="s">
        <v>15</v>
      </c>
      <c r="E26" s="19" t="s">
        <v>16</v>
      </c>
      <c r="F26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"),AD26,Table14[[#This Row],[Cod No]])</f>
        <v>100</v>
      </c>
      <c r="G26" s="20" t="s">
        <v>80</v>
      </c>
      <c r="H26" s="20">
        <v>2.5</v>
      </c>
      <c r="I26" s="20"/>
      <c r="J26" s="193">
        <f>Table1[[#This Row],[B]]</f>
        <v>0</v>
      </c>
      <c r="K26" s="193">
        <f>Table1[[#This Row],[BE]]</f>
        <v>0</v>
      </c>
      <c r="L26" s="193">
        <f>Table1[[#This Row],[G]]</f>
        <v>0</v>
      </c>
      <c r="M26" s="193">
        <f>Table1[[#This Row],[J]]</f>
        <v>0</v>
      </c>
      <c r="N26" s="193">
        <f>Table1[[#This Row],[N]]</f>
        <v>0</v>
      </c>
      <c r="O26" s="193">
        <f>Table1[[#This Row],[R]]</f>
        <v>0</v>
      </c>
      <c r="P26" s="193">
        <f>Table1[[#This Row],[V]]</f>
        <v>0</v>
      </c>
      <c r="Q26" s="193">
        <f>Table1[[#This Row],[VJ]]</f>
        <v>0</v>
      </c>
      <c r="R26" s="44">
        <f>Table1[[#This Row],[RN]]</f>
        <v>0</v>
      </c>
      <c r="S26" s="193">
        <f>Table1[[#This Row],[Blank]]</f>
        <v>0</v>
      </c>
      <c r="T26" s="45">
        <f>SUM(Table14[[#This Row],[B]:[Blank]])</f>
        <v>0</v>
      </c>
      <c r="U26" s="116">
        <v>2.61</v>
      </c>
      <c r="V26" s="118">
        <f t="shared" si="0"/>
        <v>0</v>
      </c>
      <c r="W26" s="111">
        <v>2.2970000000000002</v>
      </c>
      <c r="X26" s="111">
        <f>Table14[[#This Row],[Coil Size]]*Table14[[#This Row],[D10]]/1000*VLOOKUP(Table14[[#This Row],[Navision Code]],'TABULAR PRICE LIST'!A:L,11,FALSE)</f>
        <v>0</v>
      </c>
      <c r="Y26" s="111">
        <f>IFERROR(Table14[[#This Row],[Coil Size]]*Table14[[#This Row],[D10]]/1000*VLOOKUP(Table14[[#This Row],[Navision Code]],'TABULAR PRICE LIST'!A:L,10,FALSE),0)</f>
        <v>0</v>
      </c>
      <c r="Z26" s="111">
        <f>VLOOKUP(C26,'TABULAR PRICE LIST'!$A:$L,12,FALSE)</f>
        <v>474</v>
      </c>
      <c r="AA26" s="111">
        <f>Table14[[#This Row],[Coil Size]]*Table14[[#This Row],[D10]]/1000</f>
        <v>0</v>
      </c>
      <c r="AB26" s="111">
        <f>Table14[[#This Row],[Weight/KYD]]*Table14[[#This Row],[D10]]</f>
        <v>0</v>
      </c>
      <c r="AC26" s="177"/>
      <c r="AD26" s="111">
        <v>100</v>
      </c>
    </row>
    <row r="27" spans="1:30" s="192" customFormat="1" ht="19.5" x14ac:dyDescent="0.45">
      <c r="A27" s="189" t="s">
        <v>30</v>
      </c>
      <c r="B27" s="18">
        <f t="shared" si="1"/>
        <v>18</v>
      </c>
      <c r="C27" s="19" t="s">
        <v>85</v>
      </c>
      <c r="D27" s="19" t="s">
        <v>15</v>
      </c>
      <c r="E27" s="19" t="s">
        <v>16</v>
      </c>
      <c r="F27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"),AD27,Table14[[#This Row],[Cod No]])</f>
        <v>100</v>
      </c>
      <c r="G27" s="20" t="s">
        <v>80</v>
      </c>
      <c r="H27" s="20">
        <v>3</v>
      </c>
      <c r="I27" s="20"/>
      <c r="J27" s="193">
        <f>Table1[[#This Row],[B]]</f>
        <v>0</v>
      </c>
      <c r="K27" s="193">
        <f>Table1[[#This Row],[BE]]</f>
        <v>0</v>
      </c>
      <c r="L27" s="193">
        <f>Table1[[#This Row],[G]]</f>
        <v>0</v>
      </c>
      <c r="M27" s="193">
        <f>Table1[[#This Row],[J]]</f>
        <v>0</v>
      </c>
      <c r="N27" s="193">
        <f>Table1[[#This Row],[N]]</f>
        <v>0</v>
      </c>
      <c r="O27" s="193">
        <f>Table1[[#This Row],[R]]</f>
        <v>0</v>
      </c>
      <c r="P27" s="193">
        <f>Table1[[#This Row],[V]]</f>
        <v>0</v>
      </c>
      <c r="Q27" s="193">
        <f>Table1[[#This Row],[VJ]]</f>
        <v>0</v>
      </c>
      <c r="R27" s="44">
        <f>Table1[[#This Row],[RN]]</f>
        <v>0</v>
      </c>
      <c r="S27" s="193">
        <f>Table1[[#This Row],[Blank]]</f>
        <v>0</v>
      </c>
      <c r="T27" s="45">
        <f>SUM(Table14[[#This Row],[B]:[Blank]])</f>
        <v>0</v>
      </c>
      <c r="U27" s="116">
        <v>3.43</v>
      </c>
      <c r="V27" s="118">
        <f t="shared" si="0"/>
        <v>0</v>
      </c>
      <c r="W27" s="111">
        <v>2.923</v>
      </c>
      <c r="X27" s="111" t="e">
        <f>Table14[[#This Row],[Coil Size]]*Table14[[#This Row],[D10]]/1000*VLOOKUP(Table14[[#This Row],[Navision Code]],'TABULAR PRICE LIST'!A:L,11,FALSE)</f>
        <v>#N/A</v>
      </c>
      <c r="Y27" s="111">
        <f>IFERROR(Table14[[#This Row],[Coil Size]]*Table14[[#This Row],[D10]]/1000*VLOOKUP(Table14[[#This Row],[Navision Code]],'TABULAR PRICE LIST'!A:L,10,FALSE),0)</f>
        <v>0</v>
      </c>
      <c r="Z27" s="111" t="e">
        <f>VLOOKUP(C27,'TABULAR PRICE LIST'!$A:$L,12,FALSE)</f>
        <v>#N/A</v>
      </c>
      <c r="AA27" s="111">
        <f>Table14[[#This Row],[Coil Size]]*Table14[[#This Row],[D10]]/1000</f>
        <v>0</v>
      </c>
      <c r="AB27" s="111">
        <f>Table14[[#This Row],[Weight/KYD]]*Table14[[#This Row],[D10]]</f>
        <v>0</v>
      </c>
      <c r="AC27" s="177"/>
      <c r="AD27" s="111">
        <v>100</v>
      </c>
    </row>
    <row r="28" spans="1:30" s="192" customFormat="1" ht="19.5" x14ac:dyDescent="0.45">
      <c r="A28" s="189" t="s">
        <v>30</v>
      </c>
      <c r="B28" s="18">
        <f t="shared" si="1"/>
        <v>19</v>
      </c>
      <c r="C28" s="19" t="s">
        <v>20</v>
      </c>
      <c r="D28" s="19" t="s">
        <v>15</v>
      </c>
      <c r="E28" s="19" t="s">
        <v>16</v>
      </c>
      <c r="F28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"),AD28,Table14[[#This Row],[Cod No]])</f>
        <v>100</v>
      </c>
      <c r="G28" s="20" t="s">
        <v>80</v>
      </c>
      <c r="H28" s="20">
        <v>4</v>
      </c>
      <c r="I28" s="20"/>
      <c r="J28" s="193">
        <f>Table1[[#This Row],[B]]</f>
        <v>0</v>
      </c>
      <c r="K28" s="193">
        <f>Table1[[#This Row],[BE]]</f>
        <v>0</v>
      </c>
      <c r="L28" s="193">
        <f>Table1[[#This Row],[G]]</f>
        <v>0</v>
      </c>
      <c r="M28" s="193">
        <f>Table1[[#This Row],[J]]</f>
        <v>0</v>
      </c>
      <c r="N28" s="193">
        <f>Table1[[#This Row],[N]]</f>
        <v>0</v>
      </c>
      <c r="O28" s="193">
        <f>Table1[[#This Row],[R]]</f>
        <v>0</v>
      </c>
      <c r="P28" s="193">
        <f>Table1[[#This Row],[V]]</f>
        <v>0</v>
      </c>
      <c r="Q28" s="193">
        <f>Table1[[#This Row],[VJ]]</f>
        <v>0</v>
      </c>
      <c r="R28" s="44">
        <f>Table1[[#This Row],[RN]]</f>
        <v>0</v>
      </c>
      <c r="S28" s="193">
        <f>Table1[[#This Row],[Blank]]</f>
        <v>0</v>
      </c>
      <c r="T28" s="45">
        <f>SUM(Table14[[#This Row],[B]:[Blank]])</f>
        <v>0</v>
      </c>
      <c r="U28" s="116">
        <v>4.077</v>
      </c>
      <c r="V28" s="118">
        <f t="shared" si="0"/>
        <v>0</v>
      </c>
      <c r="W28" s="111">
        <v>4.3140000000000001</v>
      </c>
      <c r="X28" s="111">
        <f>Table14[[#This Row],[Coil Size]]*Table14[[#This Row],[D10]]/1000*VLOOKUP(Table14[[#This Row],[Navision Code]],'TABULAR PRICE LIST'!A:L,11,FALSE)</f>
        <v>0</v>
      </c>
      <c r="Y28" s="111">
        <f>IFERROR(Table14[[#This Row],[Coil Size]]*Table14[[#This Row],[D10]]/1000*VLOOKUP(Table14[[#This Row],[Navision Code]],'TABULAR PRICE LIST'!A:L,10,FALSE),0)</f>
        <v>0</v>
      </c>
      <c r="Z28" s="111">
        <f>VLOOKUP(C28,'TABULAR PRICE LIST'!$A:$L,12,FALSE)</f>
        <v>743</v>
      </c>
      <c r="AA28" s="111">
        <f>Table14[[#This Row],[Coil Size]]*Table14[[#This Row],[D10]]/1000</f>
        <v>0</v>
      </c>
      <c r="AB28" s="111">
        <f>Table14[[#This Row],[Weight/KYD]]*Table14[[#This Row],[D10]]</f>
        <v>0</v>
      </c>
      <c r="AC28" s="177"/>
      <c r="AD28" s="111">
        <v>100</v>
      </c>
    </row>
    <row r="29" spans="1:30" s="192" customFormat="1" ht="19.5" x14ac:dyDescent="0.45">
      <c r="A29" s="189" t="s">
        <v>30</v>
      </c>
      <c r="B29" s="18">
        <f t="shared" si="1"/>
        <v>20</v>
      </c>
      <c r="C29" s="19" t="s">
        <v>86</v>
      </c>
      <c r="D29" s="19" t="s">
        <v>15</v>
      </c>
      <c r="E29" s="19" t="s">
        <v>16</v>
      </c>
      <c r="F29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"),AD29,Table14[[#This Row],[Cod No]])</f>
        <v>100</v>
      </c>
      <c r="G29" s="20" t="s">
        <v>80</v>
      </c>
      <c r="H29" s="20">
        <v>6</v>
      </c>
      <c r="I29" s="20"/>
      <c r="J29" s="193">
        <f>Table1[[#This Row],[B]]</f>
        <v>0</v>
      </c>
      <c r="K29" s="193">
        <f>Table1[[#This Row],[BE]]</f>
        <v>0</v>
      </c>
      <c r="L29" s="193">
        <f>Table1[[#This Row],[G]]</f>
        <v>0</v>
      </c>
      <c r="M29" s="193">
        <f>Table1[[#This Row],[J]]</f>
        <v>0</v>
      </c>
      <c r="N29" s="193">
        <f>Table1[[#This Row],[N]]</f>
        <v>0</v>
      </c>
      <c r="O29" s="193">
        <f>Table1[[#This Row],[R]]</f>
        <v>0</v>
      </c>
      <c r="P29" s="193">
        <f>Table1[[#This Row],[V]]</f>
        <v>0</v>
      </c>
      <c r="Q29" s="193">
        <f>Table1[[#This Row],[VJ]]</f>
        <v>0</v>
      </c>
      <c r="R29" s="44">
        <f>Table1[[#This Row],[RN]]</f>
        <v>0</v>
      </c>
      <c r="S29" s="193">
        <f>Table1[[#This Row],[Blank]]</f>
        <v>0</v>
      </c>
      <c r="T29" s="45">
        <f>SUM(Table14[[#This Row],[B]:[Blank]])</f>
        <v>0</v>
      </c>
      <c r="U29" s="116">
        <v>5.7</v>
      </c>
      <c r="V29" s="118">
        <f t="shared" si="0"/>
        <v>0</v>
      </c>
      <c r="W29" s="111">
        <v>7.5410000000000004</v>
      </c>
      <c r="X29" s="111">
        <f>Table14[[#This Row],[Coil Size]]*Table14[[#This Row],[D10]]/1000*VLOOKUP(Table14[[#This Row],[Navision Code]],'TABULAR PRICE LIST'!A:L,11,FALSE)</f>
        <v>0</v>
      </c>
      <c r="Y29" s="111">
        <f>IFERROR(Table14[[#This Row],[Coil Size]]*Table14[[#This Row],[D10]]/1000*VLOOKUP(Table14[[#This Row],[Navision Code]],'TABULAR PRICE LIST'!A:L,10,FALSE),0)</f>
        <v>0</v>
      </c>
      <c r="Z29" s="111">
        <f>VLOOKUP(C29,'TABULAR PRICE LIST'!$A:$L,12,FALSE)</f>
        <v>1033</v>
      </c>
      <c r="AA29" s="111">
        <f>Table14[[#This Row],[Coil Size]]*Table14[[#This Row],[D10]]/1000</f>
        <v>0</v>
      </c>
      <c r="AB29" s="111">
        <f>Table14[[#This Row],[Weight/KYD]]*Table14[[#This Row],[D10]]</f>
        <v>0</v>
      </c>
      <c r="AC29" s="177"/>
      <c r="AD29" s="111">
        <v>100</v>
      </c>
    </row>
    <row r="30" spans="1:30" s="192" customFormat="1" ht="19.5" x14ac:dyDescent="0.45">
      <c r="A30" s="189" t="s">
        <v>30</v>
      </c>
      <c r="B30" s="18">
        <f t="shared" si="1"/>
        <v>21</v>
      </c>
      <c r="C30" s="19" t="s">
        <v>87</v>
      </c>
      <c r="D30" s="19" t="s">
        <v>15</v>
      </c>
      <c r="E30" s="19" t="s">
        <v>16</v>
      </c>
      <c r="F30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"),AD30,Table14[[#This Row],[Cod No]])</f>
        <v>100</v>
      </c>
      <c r="G30" s="20" t="s">
        <v>80</v>
      </c>
      <c r="H30" s="20">
        <v>10</v>
      </c>
      <c r="I30" s="20"/>
      <c r="J30" s="193">
        <f>Table1[[#This Row],[B]]</f>
        <v>0</v>
      </c>
      <c r="K30" s="193">
        <f>Table1[[#This Row],[BE]]</f>
        <v>0</v>
      </c>
      <c r="L30" s="193">
        <f>Table1[[#This Row],[G]]</f>
        <v>0</v>
      </c>
      <c r="M30" s="193">
        <f>Table1[[#This Row],[J]]</f>
        <v>0</v>
      </c>
      <c r="N30" s="193">
        <f>Table1[[#This Row],[N]]</f>
        <v>0</v>
      </c>
      <c r="O30" s="193">
        <f>Table1[[#This Row],[R]]</f>
        <v>0</v>
      </c>
      <c r="P30" s="193">
        <f>Table1[[#This Row],[V]]</f>
        <v>0</v>
      </c>
      <c r="Q30" s="193">
        <f>Table1[[#This Row],[VJ]]</f>
        <v>0</v>
      </c>
      <c r="R30" s="44">
        <f>Table1[[#This Row],[RN]]</f>
        <v>0</v>
      </c>
      <c r="S30" s="193">
        <f>Table1[[#This Row],[Blank]]</f>
        <v>0</v>
      </c>
      <c r="T30" s="45">
        <f>SUM(Table14[[#This Row],[B]:[Blank]])</f>
        <v>0</v>
      </c>
      <c r="U30" s="116">
        <v>10.177</v>
      </c>
      <c r="V30" s="118">
        <f t="shared" si="0"/>
        <v>0</v>
      </c>
      <c r="W30" s="111">
        <v>12.055</v>
      </c>
      <c r="X30" s="111">
        <f>Table14[[#This Row],[Coil Size]]*Table14[[#This Row],[D10]]/1000*VLOOKUP(Table14[[#This Row],[Navision Code]],'TABULAR PRICE LIST'!A:L,11,FALSE)</f>
        <v>0</v>
      </c>
      <c r="Y30" s="111">
        <f>IFERROR(Table14[[#This Row],[Coil Size]]*Table14[[#This Row],[D10]]/1000*VLOOKUP(Table14[[#This Row],[Navision Code]],'TABULAR PRICE LIST'!A:L,10,FALSE),0)</f>
        <v>0</v>
      </c>
      <c r="Z30" s="111">
        <f>VLOOKUP(C30,'TABULAR PRICE LIST'!$A:$L,12,FALSE)</f>
        <v>1746</v>
      </c>
      <c r="AA30" s="111">
        <f>Table14[[#This Row],[Coil Size]]*Table14[[#This Row],[D10]]/1000</f>
        <v>0</v>
      </c>
      <c r="AB30" s="111">
        <f>Table14[[#This Row],[Weight/KYD]]*Table14[[#This Row],[D10]]</f>
        <v>0</v>
      </c>
      <c r="AC30" s="177"/>
      <c r="AD30" s="111">
        <v>100</v>
      </c>
    </row>
    <row r="31" spans="1:30" s="192" customFormat="1" ht="19.5" x14ac:dyDescent="0.45">
      <c r="A31" s="189" t="s">
        <v>30</v>
      </c>
      <c r="B31" s="18">
        <f t="shared" si="1"/>
        <v>22</v>
      </c>
      <c r="C31" s="19" t="s">
        <v>88</v>
      </c>
      <c r="D31" s="19" t="s">
        <v>15</v>
      </c>
      <c r="E31" s="19" t="s">
        <v>16</v>
      </c>
      <c r="F31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"),AD31,Table14[[#This Row],[Cod No]])</f>
        <v>100</v>
      </c>
      <c r="G31" s="20" t="s">
        <v>80</v>
      </c>
      <c r="H31" s="20">
        <v>16</v>
      </c>
      <c r="I31" s="20"/>
      <c r="J31" s="193">
        <f>Table1[[#This Row],[B]]</f>
        <v>0</v>
      </c>
      <c r="K31" s="193">
        <f>Table1[[#This Row],[BE]]</f>
        <v>0</v>
      </c>
      <c r="L31" s="193">
        <f>Table1[[#This Row],[G]]</f>
        <v>0</v>
      </c>
      <c r="M31" s="193">
        <f>Table1[[#This Row],[J]]</f>
        <v>0</v>
      </c>
      <c r="N31" s="193">
        <f>Table1[[#This Row],[N]]</f>
        <v>0</v>
      </c>
      <c r="O31" s="193">
        <f>Table1[[#This Row],[R]]</f>
        <v>0</v>
      </c>
      <c r="P31" s="193">
        <f>Table1[[#This Row],[V]]</f>
        <v>0</v>
      </c>
      <c r="Q31" s="193">
        <f>Table1[[#This Row],[VJ]]</f>
        <v>0</v>
      </c>
      <c r="R31" s="44">
        <f>Table1[[#This Row],[RN]]</f>
        <v>0</v>
      </c>
      <c r="S31" s="193">
        <f>Table1[[#This Row],[Blank]]</f>
        <v>0</v>
      </c>
      <c r="T31" s="45">
        <f>SUM(Table14[[#This Row],[B]:[Blank]])</f>
        <v>0</v>
      </c>
      <c r="U31" s="116">
        <v>15.225</v>
      </c>
      <c r="V31" s="118">
        <f t="shared" si="0"/>
        <v>0</v>
      </c>
      <c r="W31" s="111">
        <v>18.635999999999999</v>
      </c>
      <c r="X31" s="111">
        <f>Table14[[#This Row],[Coil Size]]*Table14[[#This Row],[D10]]/1000*VLOOKUP(Table14[[#This Row],[Navision Code]],'TABULAR PRICE LIST'!A:L,11,FALSE)</f>
        <v>0</v>
      </c>
      <c r="Y31" s="111">
        <f>IFERROR(Table14[[#This Row],[Coil Size]]*Table14[[#This Row],[D10]]/1000*VLOOKUP(Table14[[#This Row],[Navision Code]],'TABULAR PRICE LIST'!A:L,10,FALSE),0)</f>
        <v>0</v>
      </c>
      <c r="Z31" s="111">
        <f>VLOOKUP(C31,'TABULAR PRICE LIST'!$A:$L,12,FALSE)</f>
        <v>2787</v>
      </c>
      <c r="AA31" s="111">
        <f>Table14[[#This Row],[Coil Size]]*Table14[[#This Row],[D10]]/1000</f>
        <v>0</v>
      </c>
      <c r="AB31" s="111">
        <f>Table14[[#This Row],[Weight/KYD]]*Table14[[#This Row],[D10]]</f>
        <v>0</v>
      </c>
      <c r="AC31" s="177"/>
      <c r="AD31" s="111">
        <v>100</v>
      </c>
    </row>
    <row r="32" spans="1:30" s="192" customFormat="1" ht="19.5" x14ac:dyDescent="0.45">
      <c r="A32" s="189" t="s">
        <v>30</v>
      </c>
      <c r="B32" s="18">
        <f t="shared" si="1"/>
        <v>23</v>
      </c>
      <c r="C32" s="19" t="s">
        <v>89</v>
      </c>
      <c r="D32" s="19" t="s">
        <v>15</v>
      </c>
      <c r="E32" s="19" t="s">
        <v>16</v>
      </c>
      <c r="F32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"),AD32,Table14[[#This Row],[Cod No]])</f>
        <v>100</v>
      </c>
      <c r="G32" s="20" t="s">
        <v>80</v>
      </c>
      <c r="H32" s="20">
        <v>25</v>
      </c>
      <c r="I32" s="20"/>
      <c r="J32" s="193">
        <f>Table1[[#This Row],[B]]</f>
        <v>0</v>
      </c>
      <c r="K32" s="193">
        <f>Table1[[#This Row],[BE]]</f>
        <v>0</v>
      </c>
      <c r="L32" s="193">
        <f>Table1[[#This Row],[G]]</f>
        <v>0</v>
      </c>
      <c r="M32" s="193">
        <f>Table1[[#This Row],[J]]</f>
        <v>0</v>
      </c>
      <c r="N32" s="193">
        <f>Table1[[#This Row],[N]]</f>
        <v>0</v>
      </c>
      <c r="O32" s="193">
        <f>Table1[[#This Row],[R]]</f>
        <v>0</v>
      </c>
      <c r="P32" s="193">
        <f>Table1[[#This Row],[V]]</f>
        <v>0</v>
      </c>
      <c r="Q32" s="193">
        <f>Table1[[#This Row],[VJ]]</f>
        <v>0</v>
      </c>
      <c r="R32" s="44">
        <f>Table1[[#This Row],[RN]]</f>
        <v>0</v>
      </c>
      <c r="S32" s="193">
        <f>Table1[[#This Row],[Blank]]</f>
        <v>0</v>
      </c>
      <c r="T32" s="45">
        <f>SUM(Table14[[#This Row],[B]:[Blank]])</f>
        <v>0</v>
      </c>
      <c r="U32" s="116">
        <v>23.15</v>
      </c>
      <c r="V32" s="118">
        <f t="shared" si="0"/>
        <v>0</v>
      </c>
      <c r="W32" s="111">
        <v>26.689</v>
      </c>
      <c r="X32" s="111">
        <f>Table14[[#This Row],[Coil Size]]*Table14[[#This Row],[D10]]/1000*VLOOKUP(Table14[[#This Row],[Navision Code]],'TABULAR PRICE LIST'!A:L,11,FALSE)</f>
        <v>0</v>
      </c>
      <c r="Y32" s="111">
        <f>IFERROR(Table14[[#This Row],[Coil Size]]*Table14[[#This Row],[D10]]/1000*VLOOKUP(Table14[[#This Row],[Navision Code]],'TABULAR PRICE LIST'!A:L,10,FALSE),0)</f>
        <v>0</v>
      </c>
      <c r="Z32" s="111">
        <f>VLOOKUP(C32,'TABULAR PRICE LIST'!$A:$L,12,FALSE)</f>
        <v>4299</v>
      </c>
      <c r="AA32" s="111">
        <f>Table14[[#This Row],[Coil Size]]*Table14[[#This Row],[D10]]/1000</f>
        <v>0</v>
      </c>
      <c r="AB32" s="111">
        <f>Table14[[#This Row],[Weight/KYD]]*Table14[[#This Row],[D10]]</f>
        <v>0</v>
      </c>
      <c r="AC32" s="177"/>
      <c r="AD32" s="111">
        <v>100</v>
      </c>
    </row>
    <row r="33" spans="1:30" s="192" customFormat="1" ht="20" thickBot="1" x14ac:dyDescent="0.5">
      <c r="A33" s="189" t="s">
        <v>30</v>
      </c>
      <c r="B33" s="23">
        <f t="shared" si="1"/>
        <v>24</v>
      </c>
      <c r="C33" s="24" t="s">
        <v>90</v>
      </c>
      <c r="D33" s="24" t="s">
        <v>15</v>
      </c>
      <c r="E33" s="24" t="s">
        <v>16</v>
      </c>
      <c r="F33" s="24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"),AD33,Table14[[#This Row],[Cod No]])</f>
        <v>100</v>
      </c>
      <c r="G33" s="25" t="s">
        <v>80</v>
      </c>
      <c r="H33" s="25">
        <v>35</v>
      </c>
      <c r="I33" s="25"/>
      <c r="J33" s="195">
        <f>Table1[[#This Row],[B]]</f>
        <v>0</v>
      </c>
      <c r="K33" s="195">
        <f>Table1[[#This Row],[BE]]</f>
        <v>0</v>
      </c>
      <c r="L33" s="195">
        <f>Table1[[#This Row],[G]]</f>
        <v>0</v>
      </c>
      <c r="M33" s="195">
        <f>Table1[[#This Row],[J]]</f>
        <v>0</v>
      </c>
      <c r="N33" s="195">
        <f>Table1[[#This Row],[N]]</f>
        <v>0</v>
      </c>
      <c r="O33" s="195">
        <f>Table1[[#This Row],[R]]</f>
        <v>0</v>
      </c>
      <c r="P33" s="195">
        <f>Table1[[#This Row],[V]]</f>
        <v>0</v>
      </c>
      <c r="Q33" s="195">
        <f>Table1[[#This Row],[VJ]]</f>
        <v>0</v>
      </c>
      <c r="R33" s="46">
        <f>Table1[[#This Row],[RN]]</f>
        <v>0</v>
      </c>
      <c r="S33" s="195">
        <f>Table1[[#This Row],[Blank]]</f>
        <v>0</v>
      </c>
      <c r="T33" s="47">
        <f>SUM(Table14[[#This Row],[B]:[Blank]])</f>
        <v>0</v>
      </c>
      <c r="U33" s="119">
        <v>32.1</v>
      </c>
      <c r="V33" s="120">
        <f t="shared" si="0"/>
        <v>0</v>
      </c>
      <c r="W33" s="112">
        <v>0.36899999999999999</v>
      </c>
      <c r="X33" s="112">
        <f>Table14[[#This Row],[Coil Size]]*Table14[[#This Row],[D10]]/1000*VLOOKUP(Table14[[#This Row],[Navision Code]],'TABULAR PRICE LIST'!A:L,11,FALSE)</f>
        <v>0</v>
      </c>
      <c r="Y33" s="112">
        <f>IFERROR(Table14[[#This Row],[Coil Size]]*Table14[[#This Row],[D10]]/1000*VLOOKUP(Table14[[#This Row],[Navision Code]],'TABULAR PRICE LIST'!A:L,10,FALSE),0)</f>
        <v>0</v>
      </c>
      <c r="Z33" s="112">
        <f>VLOOKUP(C33,'TABULAR PRICE LIST'!$A:$L,12,FALSE)</f>
        <v>5983</v>
      </c>
      <c r="AA33" s="112">
        <f>Table14[[#This Row],[Coil Size]]*Table14[[#This Row],[D10]]/1000</f>
        <v>0</v>
      </c>
      <c r="AB33" s="112">
        <f>Table14[[#This Row],[Weight/KYD]]*Table14[[#This Row],[D10]]</f>
        <v>0</v>
      </c>
      <c r="AC33" s="177"/>
      <c r="AD33" s="112">
        <v>100</v>
      </c>
    </row>
    <row r="34" spans="1:30" s="192" customFormat="1" ht="19.5" x14ac:dyDescent="0.45">
      <c r="A34" s="189" t="s">
        <v>30</v>
      </c>
      <c r="B34" s="18">
        <f>B33+1</f>
        <v>25</v>
      </c>
      <c r="C34" s="19" t="s">
        <v>92</v>
      </c>
      <c r="D34" s="19" t="s">
        <v>15</v>
      </c>
      <c r="E34" s="19" t="s">
        <v>16</v>
      </c>
      <c r="F34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"),AD34,Table14[[#This Row],[Cod No]])</f>
        <v>100</v>
      </c>
      <c r="G34" s="20" t="s">
        <v>91</v>
      </c>
      <c r="H34" s="20" t="s">
        <v>93</v>
      </c>
      <c r="I34" s="20"/>
      <c r="J34" s="193">
        <f>Table1[[#This Row],[B]]</f>
        <v>0</v>
      </c>
      <c r="K34" s="44">
        <f>Table1[[#This Row],[BE]]</f>
        <v>0</v>
      </c>
      <c r="L34" s="44">
        <f>Table1[[#This Row],[G]]</f>
        <v>0</v>
      </c>
      <c r="M34" s="44">
        <f>Table1[[#This Row],[J]]</f>
        <v>0</v>
      </c>
      <c r="N34" s="193">
        <f>Table1[[#This Row],[N]]</f>
        <v>0</v>
      </c>
      <c r="O34" s="44">
        <f>Table1[[#This Row],[R]]</f>
        <v>0</v>
      </c>
      <c r="P34" s="44">
        <f>Table1[[#This Row],[V]]</f>
        <v>0</v>
      </c>
      <c r="Q34" s="44">
        <f>Table1[[#This Row],[VJ]]</f>
        <v>0</v>
      </c>
      <c r="R34" s="44">
        <f>Table1[[#This Row],[RN]]</f>
        <v>0</v>
      </c>
      <c r="S34" s="44">
        <f>Table1[[#This Row],[Blank]]</f>
        <v>0</v>
      </c>
      <c r="T34" s="45">
        <f>SUM(Table14[[#This Row],[B]:[Blank]])</f>
        <v>0</v>
      </c>
      <c r="U34" s="116">
        <v>2</v>
      </c>
      <c r="V34" s="118">
        <f t="shared" si="0"/>
        <v>0</v>
      </c>
      <c r="W34" s="111">
        <v>0.73699999999999999</v>
      </c>
      <c r="X34" s="111">
        <f>Table14[[#This Row],[Coil Size]]*Table14[[#This Row],[D10]]/1000*VLOOKUP(Table14[[#This Row],[Navision Code]],'TABULAR PRICE LIST'!A:L,11,FALSE)</f>
        <v>0</v>
      </c>
      <c r="Y34" s="111">
        <f>IFERROR(Table14[[#This Row],[Coil Size]]*Table14[[#This Row],[D10]]/1000*VLOOKUP(Table14[[#This Row],[Navision Code]],'TABULAR PRICE LIST'!A:L,10,FALSE),0)</f>
        <v>0</v>
      </c>
      <c r="Z34" s="111">
        <f>VLOOKUP(C34,'TABULAR PRICE LIST'!$A:$L,12,FALSE)</f>
        <v>264</v>
      </c>
      <c r="AA34" s="111">
        <f>Table14[[#This Row],[Coil Size]]*Table14[[#This Row],[D10]]/1000</f>
        <v>0</v>
      </c>
      <c r="AB34" s="111">
        <f>Table14[[#This Row],[Weight/KYD]]*Table14[[#This Row],[D10]]</f>
        <v>0</v>
      </c>
      <c r="AC34" s="177"/>
      <c r="AD34" s="111">
        <v>100</v>
      </c>
    </row>
    <row r="35" spans="1:30" s="192" customFormat="1" ht="19.5" x14ac:dyDescent="0.45">
      <c r="A35" s="189" t="s">
        <v>30</v>
      </c>
      <c r="B35" s="18">
        <f t="shared" si="1"/>
        <v>26</v>
      </c>
      <c r="C35" s="21" t="s">
        <v>94</v>
      </c>
      <c r="D35" s="21" t="s">
        <v>15</v>
      </c>
      <c r="E35" s="21" t="s">
        <v>16</v>
      </c>
      <c r="F35" s="21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"),AD35,Table14[[#This Row],[Cod No]])</f>
        <v>100</v>
      </c>
      <c r="G35" s="22" t="s">
        <v>91</v>
      </c>
      <c r="H35" s="22" t="s">
        <v>95</v>
      </c>
      <c r="I35" s="20"/>
      <c r="J35" s="44">
        <f>Table1[[#This Row],[B]]</f>
        <v>0</v>
      </c>
      <c r="K35" s="44">
        <f>Table1[[#This Row],[BE]]</f>
        <v>0</v>
      </c>
      <c r="L35" s="44">
        <f>Table1[[#This Row],[G]]</f>
        <v>0</v>
      </c>
      <c r="M35" s="44">
        <f>Table1[[#This Row],[J]]</f>
        <v>0</v>
      </c>
      <c r="N35" s="44">
        <f>Table1[[#This Row],[N]]</f>
        <v>0</v>
      </c>
      <c r="O35" s="44">
        <f>Table1[[#This Row],[R]]</f>
        <v>0</v>
      </c>
      <c r="P35" s="44">
        <f>Table1[[#This Row],[V]]</f>
        <v>0</v>
      </c>
      <c r="Q35" s="44">
        <f>Table1[[#This Row],[VJ]]</f>
        <v>0</v>
      </c>
      <c r="R35" s="193">
        <f>Table1[[#This Row],[RN]]</f>
        <v>0</v>
      </c>
      <c r="S35" s="44">
        <f>Table1[[#This Row],[Blank]]</f>
        <v>0</v>
      </c>
      <c r="T35" s="45">
        <f>SUM(Table14[[#This Row],[B]:[Blank]])</f>
        <v>0</v>
      </c>
      <c r="U35" s="116">
        <v>2</v>
      </c>
      <c r="V35" s="118">
        <f t="shared" si="0"/>
        <v>0</v>
      </c>
      <c r="W35" s="121">
        <v>1.1060000000000001</v>
      </c>
      <c r="X35" s="121">
        <f>Table14[[#This Row],[Coil Size]]*Table14[[#This Row],[D10]]/1000*VLOOKUP(Table14[[#This Row],[Navision Code]],'TABULAR PRICE LIST'!A:L,11,FALSE)</f>
        <v>0</v>
      </c>
      <c r="Y35" s="121">
        <f>IFERROR(Table14[[#This Row],[Coil Size]]*Table14[[#This Row],[D10]]/1000*VLOOKUP(Table14[[#This Row],[Navision Code]],'TABULAR PRICE LIST'!A:L,10,FALSE),0)</f>
        <v>0</v>
      </c>
      <c r="Z35" s="121">
        <f>VLOOKUP(C35,'TABULAR PRICE LIST'!$A:$L,12,FALSE)</f>
        <v>286</v>
      </c>
      <c r="AA35" s="121">
        <f>Table14[[#This Row],[Coil Size]]*Table14[[#This Row],[D10]]/1000</f>
        <v>0</v>
      </c>
      <c r="AB35" s="121">
        <f>Table14[[#This Row],[Weight/KYD]]*Table14[[#This Row],[D10]]</f>
        <v>0</v>
      </c>
      <c r="AC35" s="177"/>
      <c r="AD35" s="111">
        <v>100</v>
      </c>
    </row>
    <row r="36" spans="1:30" s="192" customFormat="1" ht="19.5" x14ac:dyDescent="0.45">
      <c r="A36" s="189" t="s">
        <v>30</v>
      </c>
      <c r="B36" s="18">
        <f t="shared" si="1"/>
        <v>27</v>
      </c>
      <c r="C36" s="19" t="s">
        <v>96</v>
      </c>
      <c r="D36" s="19" t="s">
        <v>15</v>
      </c>
      <c r="E36" s="19" t="s">
        <v>16</v>
      </c>
      <c r="F36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"),AD36,Table14[[#This Row],[Cod No]])</f>
        <v>100</v>
      </c>
      <c r="G36" s="20" t="s">
        <v>91</v>
      </c>
      <c r="H36" s="20" t="s">
        <v>97</v>
      </c>
      <c r="I36" s="20"/>
      <c r="J36" s="193">
        <f>Table1[[#This Row],[B]]</f>
        <v>0</v>
      </c>
      <c r="K36" s="44">
        <f>Table1[[#This Row],[BE]]</f>
        <v>0</v>
      </c>
      <c r="L36" s="44">
        <f>Table1[[#This Row],[G]]</f>
        <v>0</v>
      </c>
      <c r="M36" s="44">
        <f>Table1[[#This Row],[J]]</f>
        <v>0</v>
      </c>
      <c r="N36" s="193">
        <f>Table1[[#This Row],[N]]</f>
        <v>0</v>
      </c>
      <c r="O36" s="44">
        <f>Table1[[#This Row],[R]]</f>
        <v>0</v>
      </c>
      <c r="P36" s="44">
        <f>Table1[[#This Row],[V]]</f>
        <v>0</v>
      </c>
      <c r="Q36" s="44">
        <f>Table1[[#This Row],[VJ]]</f>
        <v>0</v>
      </c>
      <c r="R36" s="44">
        <f>Table1[[#This Row],[RN]]</f>
        <v>0</v>
      </c>
      <c r="S36" s="44">
        <f>Table1[[#This Row],[Blank]]</f>
        <v>0</v>
      </c>
      <c r="T36" s="45">
        <f>SUM(Table14[[#This Row],[B]:[Blank]])</f>
        <v>0</v>
      </c>
      <c r="U36" s="116">
        <v>2.5</v>
      </c>
      <c r="V36" s="118">
        <f t="shared" si="0"/>
        <v>0</v>
      </c>
      <c r="W36" s="111">
        <v>1.4750000000000001</v>
      </c>
      <c r="X36" s="111" t="e">
        <f>Table14[[#This Row],[Coil Size]]*Table14[[#This Row],[D10]]/1000*VLOOKUP(Table14[[#This Row],[Navision Code]],'TABULAR PRICE LIST'!A:L,11,FALSE)</f>
        <v>#N/A</v>
      </c>
      <c r="Y36" s="111">
        <f>IFERROR(Table14[[#This Row],[Coil Size]]*Table14[[#This Row],[D10]]/1000*VLOOKUP(Table14[[#This Row],[Navision Code]],'TABULAR PRICE LIST'!A:L,10,FALSE),0)</f>
        <v>0</v>
      </c>
      <c r="Z36" s="111" t="e">
        <f>VLOOKUP(C36,'TABULAR PRICE LIST'!$A:$L,12,FALSE)</f>
        <v>#N/A</v>
      </c>
      <c r="AA36" s="111">
        <f>Table14[[#This Row],[Coil Size]]*Table14[[#This Row],[D10]]/1000</f>
        <v>0</v>
      </c>
      <c r="AB36" s="111">
        <f>Table14[[#This Row],[Weight/KYD]]*Table14[[#This Row],[D10]]</f>
        <v>0</v>
      </c>
      <c r="AC36" s="177"/>
      <c r="AD36" s="111">
        <v>100</v>
      </c>
    </row>
    <row r="37" spans="1:30" s="192" customFormat="1" ht="19.5" x14ac:dyDescent="0.45">
      <c r="A37" s="189" t="s">
        <v>30</v>
      </c>
      <c r="B37" s="18">
        <f t="shared" si="1"/>
        <v>28</v>
      </c>
      <c r="C37" s="19" t="s">
        <v>98</v>
      </c>
      <c r="D37" s="19" t="s">
        <v>15</v>
      </c>
      <c r="E37" s="19" t="s">
        <v>16</v>
      </c>
      <c r="F37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"),AD37,Table14[[#This Row],[Cod No]])</f>
        <v>100</v>
      </c>
      <c r="G37" s="20" t="s">
        <v>91</v>
      </c>
      <c r="H37" s="20" t="s">
        <v>99</v>
      </c>
      <c r="I37" s="20"/>
      <c r="J37" s="193">
        <f>Table1[[#This Row],[B]]</f>
        <v>0</v>
      </c>
      <c r="K37" s="44">
        <f>Table1[[#This Row],[BE]]</f>
        <v>0</v>
      </c>
      <c r="L37" s="44">
        <f>Table1[[#This Row],[G]]</f>
        <v>0</v>
      </c>
      <c r="M37" s="44">
        <f>Table1[[#This Row],[J]]</f>
        <v>0</v>
      </c>
      <c r="N37" s="193">
        <f>Table1[[#This Row],[N]]</f>
        <v>0</v>
      </c>
      <c r="O37" s="44">
        <f>Table1[[#This Row],[R]]</f>
        <v>0</v>
      </c>
      <c r="P37" s="44">
        <f>Table1[[#This Row],[V]]</f>
        <v>0</v>
      </c>
      <c r="Q37" s="44">
        <f>Table1[[#This Row],[VJ]]</f>
        <v>0</v>
      </c>
      <c r="R37" s="44">
        <f>Table1[[#This Row],[RN]]</f>
        <v>0</v>
      </c>
      <c r="S37" s="44">
        <f>Table1[[#This Row],[Blank]]</f>
        <v>0</v>
      </c>
      <c r="T37" s="45">
        <f>SUM(Table14[[#This Row],[B]:[Blank]])</f>
        <v>0</v>
      </c>
      <c r="U37" s="116">
        <v>2.98</v>
      </c>
      <c r="V37" s="118">
        <f t="shared" si="0"/>
        <v>0</v>
      </c>
      <c r="W37" s="111">
        <v>1.4750000000000001</v>
      </c>
      <c r="X37" s="111">
        <f>Table14[[#This Row],[Coil Size]]*Table14[[#This Row],[D10]]/1000*VLOOKUP(Table14[[#This Row],[Navision Code]],'TABULAR PRICE LIST'!A:L,11,FALSE)</f>
        <v>0</v>
      </c>
      <c r="Y37" s="111">
        <f>IFERROR(Table14[[#This Row],[Coil Size]]*Table14[[#This Row],[D10]]/1000*VLOOKUP(Table14[[#This Row],[Navision Code]],'TABULAR PRICE LIST'!A:L,10,FALSE),0)</f>
        <v>0</v>
      </c>
      <c r="Z37" s="111">
        <f>VLOOKUP(C37,'TABULAR PRICE LIST'!$A:$L,12,FALSE)</f>
        <v>428</v>
      </c>
      <c r="AA37" s="111">
        <f>Table14[[#This Row],[Coil Size]]*Table14[[#This Row],[D10]]/1000</f>
        <v>0</v>
      </c>
      <c r="AB37" s="111">
        <f>Table14[[#This Row],[Weight/KYD]]*Table14[[#This Row],[D10]]</f>
        <v>0</v>
      </c>
      <c r="AC37" s="177"/>
      <c r="AD37" s="111">
        <v>100</v>
      </c>
    </row>
    <row r="38" spans="1:30" s="196" customFormat="1" ht="18.5" x14ac:dyDescent="0.45">
      <c r="A38" s="189" t="s">
        <v>30</v>
      </c>
      <c r="B38" s="18">
        <f t="shared" si="1"/>
        <v>29</v>
      </c>
      <c r="C38" s="19" t="s">
        <v>100</v>
      </c>
      <c r="D38" s="19" t="s">
        <v>15</v>
      </c>
      <c r="E38" s="19" t="s">
        <v>16</v>
      </c>
      <c r="F38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"),AD38,Table14[[#This Row],[Cod No]])</f>
        <v>100</v>
      </c>
      <c r="G38" s="20" t="s">
        <v>91</v>
      </c>
      <c r="H38" s="20" t="s">
        <v>101</v>
      </c>
      <c r="I38" s="20"/>
      <c r="J38" s="44">
        <f>Table1[[#This Row],[B]]</f>
        <v>0</v>
      </c>
      <c r="K38" s="44">
        <f>Table1[[#This Row],[BE]]</f>
        <v>0</v>
      </c>
      <c r="L38" s="44">
        <f>Table1[[#This Row],[G]]</f>
        <v>0</v>
      </c>
      <c r="M38" s="44">
        <f>Table1[[#This Row],[J]]</f>
        <v>0</v>
      </c>
      <c r="N38" s="44">
        <f>Table1[[#This Row],[N]]</f>
        <v>0</v>
      </c>
      <c r="O38" s="44">
        <f>Table1[[#This Row],[R]]</f>
        <v>0</v>
      </c>
      <c r="P38" s="44">
        <f>Table1[[#This Row],[V]]</f>
        <v>0</v>
      </c>
      <c r="Q38" s="44">
        <f>Table1[[#This Row],[VJ]]</f>
        <v>0</v>
      </c>
      <c r="R38" s="193">
        <f>Table1[[#This Row],[RN]]</f>
        <v>0</v>
      </c>
      <c r="S38" s="44">
        <f>Table1[[#This Row],[Blank]]</f>
        <v>0</v>
      </c>
      <c r="T38" s="45">
        <f>SUM(Table14[[#This Row],[B]:[Blank]])</f>
        <v>0</v>
      </c>
      <c r="U38" s="116">
        <v>2.93</v>
      </c>
      <c r="V38" s="118">
        <f t="shared" si="0"/>
        <v>0</v>
      </c>
      <c r="W38" s="111">
        <v>2.17</v>
      </c>
      <c r="X38" s="111">
        <f>Table14[[#This Row],[Coil Size]]*Table14[[#This Row],[D10]]/1000*VLOOKUP(Table14[[#This Row],[Navision Code]],'TABULAR PRICE LIST'!A:L,11,FALSE)</f>
        <v>0</v>
      </c>
      <c r="Y38" s="111">
        <f>IFERROR(Table14[[#This Row],[Coil Size]]*Table14[[#This Row],[D10]]/1000*VLOOKUP(Table14[[#This Row],[Navision Code]],'TABULAR PRICE LIST'!A:L,10,FALSE),0)</f>
        <v>0</v>
      </c>
      <c r="Z38" s="111">
        <f>VLOOKUP(C38,'TABULAR PRICE LIST'!$A:$L,12,FALSE)</f>
        <v>462</v>
      </c>
      <c r="AA38" s="111">
        <f>Table14[[#This Row],[Coil Size]]*Table14[[#This Row],[D10]]/1000</f>
        <v>0</v>
      </c>
      <c r="AB38" s="111">
        <f>Table14[[#This Row],[Weight/KYD]]*Table14[[#This Row],[D10]]</f>
        <v>0</v>
      </c>
      <c r="AC38" s="177"/>
      <c r="AD38" s="111">
        <v>100</v>
      </c>
    </row>
    <row r="39" spans="1:30" s="196" customFormat="1" ht="18.5" x14ac:dyDescent="0.45">
      <c r="A39" s="189" t="s">
        <v>30</v>
      </c>
      <c r="B39" s="18">
        <f t="shared" si="1"/>
        <v>30</v>
      </c>
      <c r="C39" s="19" t="s">
        <v>102</v>
      </c>
      <c r="D39" s="19" t="s">
        <v>15</v>
      </c>
      <c r="E39" s="19" t="s">
        <v>16</v>
      </c>
      <c r="F39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"),AD39,Table14[[#This Row],[Cod No]])</f>
        <v>100</v>
      </c>
      <c r="G39" s="20" t="s">
        <v>91</v>
      </c>
      <c r="H39" s="20" t="s">
        <v>103</v>
      </c>
      <c r="I39" s="20"/>
      <c r="J39" s="193">
        <f>Table1[[#This Row],[B]]</f>
        <v>0</v>
      </c>
      <c r="K39" s="44">
        <f>Table1[[#This Row],[BE]]</f>
        <v>0</v>
      </c>
      <c r="L39" s="44">
        <f>Table1[[#This Row],[G]]</f>
        <v>0</v>
      </c>
      <c r="M39" s="44">
        <f>Table1[[#This Row],[J]]</f>
        <v>0</v>
      </c>
      <c r="N39" s="193">
        <f>Table1[[#This Row],[N]]</f>
        <v>0</v>
      </c>
      <c r="O39" s="44">
        <f>Table1[[#This Row],[R]]</f>
        <v>0</v>
      </c>
      <c r="P39" s="44">
        <f>Table1[[#This Row],[V]]</f>
        <v>0</v>
      </c>
      <c r="Q39" s="44">
        <f>Table1[[#This Row],[VJ]]</f>
        <v>0</v>
      </c>
      <c r="R39" s="44">
        <f>Table1[[#This Row],[RN]]</f>
        <v>0</v>
      </c>
      <c r="S39" s="44">
        <f>Table1[[#This Row],[Blank]]</f>
        <v>0</v>
      </c>
      <c r="T39" s="45">
        <f>SUM(Table14[[#This Row],[B]:[Blank]])</f>
        <v>0</v>
      </c>
      <c r="U39" s="116">
        <v>3.88</v>
      </c>
      <c r="V39" s="118">
        <f t="shared" si="0"/>
        <v>0</v>
      </c>
      <c r="W39" s="111">
        <v>2.17</v>
      </c>
      <c r="X39" s="111">
        <f>Table14[[#This Row],[Coil Size]]*Table14[[#This Row],[D10]]/1000*VLOOKUP(Table14[[#This Row],[Navision Code]],'TABULAR PRICE LIST'!A:L,11,FALSE)</f>
        <v>0</v>
      </c>
      <c r="Y39" s="111">
        <f>IFERROR(Table14[[#This Row],[Coil Size]]*Table14[[#This Row],[D10]]/1000*VLOOKUP(Table14[[#This Row],[Navision Code]],'TABULAR PRICE LIST'!A:L,10,FALSE),0)</f>
        <v>0</v>
      </c>
      <c r="Z39" s="111">
        <f>VLOOKUP(C39,'TABULAR PRICE LIST'!$A:$L,12,FALSE)</f>
        <v>572</v>
      </c>
      <c r="AA39" s="111">
        <f>Table14[[#This Row],[Coil Size]]*Table14[[#This Row],[D10]]/1000</f>
        <v>0</v>
      </c>
      <c r="AB39" s="111">
        <f>Table14[[#This Row],[Weight/KYD]]*Table14[[#This Row],[D10]]</f>
        <v>0</v>
      </c>
      <c r="AC39" s="177"/>
      <c r="AD39" s="111">
        <v>100</v>
      </c>
    </row>
    <row r="40" spans="1:30" s="196" customFormat="1" ht="18.5" x14ac:dyDescent="0.45">
      <c r="A40" s="189" t="s">
        <v>30</v>
      </c>
      <c r="B40" s="18">
        <f t="shared" si="1"/>
        <v>31</v>
      </c>
      <c r="C40" s="19" t="s">
        <v>104</v>
      </c>
      <c r="D40" s="19" t="s">
        <v>15</v>
      </c>
      <c r="E40" s="19" t="s">
        <v>16</v>
      </c>
      <c r="F40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"),AD40,Table14[[#This Row],[Cod No]])</f>
        <v>100</v>
      </c>
      <c r="G40" s="20" t="s">
        <v>91</v>
      </c>
      <c r="H40" s="20" t="s">
        <v>105</v>
      </c>
      <c r="I40" s="20"/>
      <c r="J40" s="44">
        <f>Table1[[#This Row],[B]]</f>
        <v>0</v>
      </c>
      <c r="K40" s="44">
        <f>Table1[[#This Row],[BE]]</f>
        <v>0</v>
      </c>
      <c r="L40" s="44">
        <f>Table1[[#This Row],[G]]</f>
        <v>0</v>
      </c>
      <c r="M40" s="44">
        <f>Table1[[#This Row],[J]]</f>
        <v>0</v>
      </c>
      <c r="N40" s="44">
        <f>Table1[[#This Row],[N]]</f>
        <v>0</v>
      </c>
      <c r="O40" s="44">
        <f>Table1[[#This Row],[R]]</f>
        <v>0</v>
      </c>
      <c r="P40" s="44">
        <f>Table1[[#This Row],[V]]</f>
        <v>0</v>
      </c>
      <c r="Q40" s="44">
        <f>Table1[[#This Row],[VJ]]</f>
        <v>0</v>
      </c>
      <c r="R40" s="193">
        <f>Table1[[#This Row],[RN]]</f>
        <v>0</v>
      </c>
      <c r="S40" s="44">
        <f>Table1[[#This Row],[Blank]]</f>
        <v>0</v>
      </c>
      <c r="T40" s="45">
        <f>SUM(Table14[[#This Row],[B]:[Blank]])</f>
        <v>0</v>
      </c>
      <c r="U40" s="116">
        <v>3.99</v>
      </c>
      <c r="V40" s="118">
        <f t="shared" si="0"/>
        <v>0</v>
      </c>
      <c r="W40" s="111">
        <v>3.036</v>
      </c>
      <c r="X40" s="111">
        <f>Table14[[#This Row],[Coil Size]]*Table14[[#This Row],[D10]]/1000*VLOOKUP(Table14[[#This Row],[Navision Code]],'TABULAR PRICE LIST'!A:L,11,FALSE)</f>
        <v>0</v>
      </c>
      <c r="Y40" s="111">
        <f>IFERROR(Table14[[#This Row],[Coil Size]]*Table14[[#This Row],[D10]]/1000*VLOOKUP(Table14[[#This Row],[Navision Code]],'TABULAR PRICE LIST'!A:L,10,FALSE),0)</f>
        <v>0</v>
      </c>
      <c r="Z40" s="111">
        <f>VLOOKUP(C40,'TABULAR PRICE LIST'!$A:$L,12,FALSE)</f>
        <v>603</v>
      </c>
      <c r="AA40" s="111">
        <f>Table14[[#This Row],[Coil Size]]*Table14[[#This Row],[D10]]/1000</f>
        <v>0</v>
      </c>
      <c r="AB40" s="111">
        <f>Table14[[#This Row],[Weight/KYD]]*Table14[[#This Row],[D10]]</f>
        <v>0</v>
      </c>
      <c r="AC40" s="177"/>
      <c r="AD40" s="111">
        <v>100</v>
      </c>
    </row>
    <row r="41" spans="1:30" s="192" customFormat="1" ht="19.5" x14ac:dyDescent="0.45">
      <c r="A41" s="189" t="s">
        <v>30</v>
      </c>
      <c r="B41" s="18">
        <f t="shared" si="1"/>
        <v>32</v>
      </c>
      <c r="C41" s="19" t="s">
        <v>106</v>
      </c>
      <c r="D41" s="19" t="s">
        <v>15</v>
      </c>
      <c r="E41" s="19" t="s">
        <v>16</v>
      </c>
      <c r="F41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"),AD41,Table14[[#This Row],[Cod No]])</f>
        <v>100</v>
      </c>
      <c r="G41" s="20" t="s">
        <v>91</v>
      </c>
      <c r="H41" s="20" t="s">
        <v>107</v>
      </c>
      <c r="I41" s="20"/>
      <c r="J41" s="193">
        <f>Table1[[#This Row],[B]]</f>
        <v>0</v>
      </c>
      <c r="K41" s="44">
        <f>Table1[[#This Row],[BE]]</f>
        <v>0</v>
      </c>
      <c r="L41" s="44">
        <f>Table1[[#This Row],[G]]</f>
        <v>0</v>
      </c>
      <c r="M41" s="44">
        <f>Table1[[#This Row],[J]]</f>
        <v>0</v>
      </c>
      <c r="N41" s="193">
        <f>Table1[[#This Row],[N]]</f>
        <v>0</v>
      </c>
      <c r="O41" s="44">
        <f>Table1[[#This Row],[R]]</f>
        <v>0</v>
      </c>
      <c r="P41" s="44">
        <f>Table1[[#This Row],[V]]</f>
        <v>0</v>
      </c>
      <c r="Q41" s="44">
        <f>Table1[[#This Row],[VJ]]</f>
        <v>0</v>
      </c>
      <c r="R41" s="44">
        <f>Table1[[#This Row],[RN]]</f>
        <v>0</v>
      </c>
      <c r="S41" s="44">
        <f>Table1[[#This Row],[Blank]]</f>
        <v>0</v>
      </c>
      <c r="T41" s="45">
        <f>SUM(Table14[[#This Row],[B]:[Blank]])</f>
        <v>0</v>
      </c>
      <c r="U41" s="116">
        <v>5.58</v>
      </c>
      <c r="V41" s="118">
        <f t="shared" si="0"/>
        <v>0</v>
      </c>
      <c r="W41" s="111">
        <v>3.036</v>
      </c>
      <c r="X41" s="111">
        <f>Table14[[#This Row],[Coil Size]]*Table14[[#This Row],[D10]]/1000*VLOOKUP(Table14[[#This Row],[Navision Code]],'TABULAR PRICE LIST'!A:L,11,FALSE)</f>
        <v>0</v>
      </c>
      <c r="Y41" s="111">
        <f>IFERROR(Table14[[#This Row],[Coil Size]]*Table14[[#This Row],[D10]]/1000*VLOOKUP(Table14[[#This Row],[Navision Code]],'TABULAR PRICE LIST'!A:L,10,FALSE),0)</f>
        <v>0</v>
      </c>
      <c r="Z41" s="111">
        <f>VLOOKUP(C41,'TABULAR PRICE LIST'!$A:$L,12,FALSE)</f>
        <v>771</v>
      </c>
      <c r="AA41" s="111">
        <f>Table14[[#This Row],[Coil Size]]*Table14[[#This Row],[D10]]/1000</f>
        <v>0</v>
      </c>
      <c r="AB41" s="111">
        <f>Table14[[#This Row],[Weight/KYD]]*Table14[[#This Row],[D10]]</f>
        <v>0</v>
      </c>
      <c r="AC41" s="177"/>
      <c r="AD41" s="111">
        <v>100</v>
      </c>
    </row>
    <row r="42" spans="1:30" s="192" customFormat="1" ht="19.5" x14ac:dyDescent="0.45">
      <c r="A42" s="189" t="s">
        <v>30</v>
      </c>
      <c r="B42" s="18">
        <f t="shared" si="1"/>
        <v>33</v>
      </c>
      <c r="C42" s="19" t="s">
        <v>108</v>
      </c>
      <c r="D42" s="19" t="s">
        <v>15</v>
      </c>
      <c r="E42" s="19" t="s">
        <v>16</v>
      </c>
      <c r="F42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"),AD42,Table14[[#This Row],[Cod No]])</f>
        <v>100</v>
      </c>
      <c r="G42" s="20" t="s">
        <v>91</v>
      </c>
      <c r="H42" s="20" t="s">
        <v>109</v>
      </c>
      <c r="I42" s="20"/>
      <c r="J42" s="44">
        <f>Table1[[#This Row],[B]]</f>
        <v>0</v>
      </c>
      <c r="K42" s="44">
        <f>Table1[[#This Row],[BE]]</f>
        <v>0</v>
      </c>
      <c r="L42" s="44">
        <f>Table1[[#This Row],[G]]</f>
        <v>0</v>
      </c>
      <c r="M42" s="44">
        <f>Table1[[#This Row],[J]]</f>
        <v>0</v>
      </c>
      <c r="N42" s="44">
        <f>Table1[[#This Row],[N]]</f>
        <v>0</v>
      </c>
      <c r="O42" s="44">
        <f>Table1[[#This Row],[R]]</f>
        <v>0</v>
      </c>
      <c r="P42" s="44">
        <f>Table1[[#This Row],[V]]</f>
        <v>0</v>
      </c>
      <c r="Q42" s="44">
        <f>Table1[[#This Row],[VJ]]</f>
        <v>0</v>
      </c>
      <c r="R42" s="193">
        <f>Table1[[#This Row],[RN]]</f>
        <v>0</v>
      </c>
      <c r="S42" s="44">
        <f>Table1[[#This Row],[Blank]]</f>
        <v>0</v>
      </c>
      <c r="T42" s="45">
        <f>SUM(Table14[[#This Row],[B]:[Blank]])</f>
        <v>0</v>
      </c>
      <c r="U42" s="116">
        <v>5.28</v>
      </c>
      <c r="V42" s="118">
        <f t="shared" si="0"/>
        <v>0</v>
      </c>
      <c r="W42" s="111">
        <v>3.6159999999999997</v>
      </c>
      <c r="X42" s="111">
        <f>Table14[[#This Row],[Coil Size]]*Table14[[#This Row],[D10]]/1000*VLOOKUP(Table14[[#This Row],[Navision Code]],'TABULAR PRICE LIST'!A:L,11,FALSE)</f>
        <v>0</v>
      </c>
      <c r="Y42" s="111">
        <f>IFERROR(Table14[[#This Row],[Coil Size]]*Table14[[#This Row],[D10]]/1000*VLOOKUP(Table14[[#This Row],[Navision Code]],'TABULAR PRICE LIST'!A:L,10,FALSE),0)</f>
        <v>0</v>
      </c>
      <c r="Z42" s="111">
        <f>VLOOKUP(C42,'TABULAR PRICE LIST'!$A:$L,12,FALSE)</f>
        <v>829</v>
      </c>
      <c r="AA42" s="111">
        <f>Table14[[#This Row],[Coil Size]]*Table14[[#This Row],[D10]]/1000</f>
        <v>0</v>
      </c>
      <c r="AB42" s="111">
        <f>Table14[[#This Row],[Weight/KYD]]*Table14[[#This Row],[D10]]</f>
        <v>0</v>
      </c>
      <c r="AC42" s="177"/>
      <c r="AD42" s="111">
        <v>100</v>
      </c>
    </row>
    <row r="43" spans="1:30" s="192" customFormat="1" ht="20" thickBot="1" x14ac:dyDescent="0.5">
      <c r="A43" s="189" t="s">
        <v>30</v>
      </c>
      <c r="B43" s="26">
        <f t="shared" si="1"/>
        <v>34</v>
      </c>
      <c r="C43" s="27" t="s">
        <v>110</v>
      </c>
      <c r="D43" s="27" t="s">
        <v>15</v>
      </c>
      <c r="E43" s="27" t="s">
        <v>16</v>
      </c>
      <c r="F43" s="27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"),AD43,Table14[[#This Row],[Cod No]])</f>
        <v>100</v>
      </c>
      <c r="G43" s="28" t="s">
        <v>91</v>
      </c>
      <c r="H43" s="28" t="s">
        <v>111</v>
      </c>
      <c r="I43" s="28"/>
      <c r="J43" s="197">
        <f>Table1[[#This Row],[B]]</f>
        <v>0</v>
      </c>
      <c r="K43" s="48">
        <f>Table1[[#This Row],[BE]]</f>
        <v>0</v>
      </c>
      <c r="L43" s="48">
        <f>Table1[[#This Row],[G]]</f>
        <v>0</v>
      </c>
      <c r="M43" s="48">
        <f>Table1[[#This Row],[J]]</f>
        <v>0</v>
      </c>
      <c r="N43" s="197">
        <f>Table1[[#This Row],[N]]</f>
        <v>0</v>
      </c>
      <c r="O43" s="48">
        <f>Table1[[#This Row],[R]]</f>
        <v>0</v>
      </c>
      <c r="P43" s="48">
        <f>Table1[[#This Row],[V]]</f>
        <v>0</v>
      </c>
      <c r="Q43" s="48">
        <f>Table1[[#This Row],[VJ]]</f>
        <v>0</v>
      </c>
      <c r="R43" s="48">
        <f>Table1[[#This Row],[RN]]</f>
        <v>0</v>
      </c>
      <c r="S43" s="48">
        <f>Table1[[#This Row],[Blank]]</f>
        <v>0</v>
      </c>
      <c r="T43" s="49">
        <f>SUM(Table14[[#This Row],[B]:[Blank]])</f>
        <v>0</v>
      </c>
      <c r="U43" s="122">
        <v>5.9</v>
      </c>
      <c r="V43" s="123">
        <f t="shared" si="0"/>
        <v>0</v>
      </c>
      <c r="W43" s="112">
        <v>0.74399999999999999</v>
      </c>
      <c r="X43" s="112">
        <f>Table14[[#This Row],[Coil Size]]*Table14[[#This Row],[D10]]/1000*VLOOKUP(Table14[[#This Row],[Navision Code]],'TABULAR PRICE LIST'!A:L,11,FALSE)</f>
        <v>0</v>
      </c>
      <c r="Y43" s="112">
        <f>IFERROR(Table14[[#This Row],[Coil Size]]*Table14[[#This Row],[D10]]/1000*VLOOKUP(Table14[[#This Row],[Navision Code]],'TABULAR PRICE LIST'!A:L,10,FALSE),0)</f>
        <v>0</v>
      </c>
      <c r="Z43" s="112">
        <f>VLOOKUP(C43,'TABULAR PRICE LIST'!$A:$L,12,FALSE)</f>
        <v>901</v>
      </c>
      <c r="AA43" s="112">
        <f>Table14[[#This Row],[Coil Size]]*Table14[[#This Row],[D10]]/1000</f>
        <v>0</v>
      </c>
      <c r="AB43" s="112">
        <f>Table14[[#This Row],[Weight/KYD]]*Table14[[#This Row],[D10]]</f>
        <v>0</v>
      </c>
      <c r="AC43" s="177"/>
      <c r="AD43" s="112">
        <v>100</v>
      </c>
    </row>
    <row r="44" spans="1:30" s="196" customFormat="1" ht="18.5" x14ac:dyDescent="0.45">
      <c r="A44" s="189" t="s">
        <v>30</v>
      </c>
      <c r="B44" s="15">
        <f t="shared" si="1"/>
        <v>35</v>
      </c>
      <c r="C44" s="16" t="s">
        <v>112</v>
      </c>
      <c r="D44" s="16" t="s">
        <v>15</v>
      </c>
      <c r="E44" s="16" t="s">
        <v>16</v>
      </c>
      <c r="F44" s="16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"),AD44,Table14[[#This Row],[Cod No]])</f>
        <v>100</v>
      </c>
      <c r="G44" s="17" t="s">
        <v>113</v>
      </c>
      <c r="H44" s="17" t="s">
        <v>93</v>
      </c>
      <c r="I44" s="17"/>
      <c r="J44" s="190">
        <f>Table1[[#This Row],[B]]</f>
        <v>0</v>
      </c>
      <c r="K44" s="42">
        <f>Table1[[#This Row],[BE]]</f>
        <v>0</v>
      </c>
      <c r="L44" s="190">
        <f>Table1[[#This Row],[G]]</f>
        <v>0</v>
      </c>
      <c r="M44" s="42">
        <f>Table1[[#This Row],[J]]</f>
        <v>0</v>
      </c>
      <c r="N44" s="190">
        <f>Table1[[#This Row],[N]]</f>
        <v>0</v>
      </c>
      <c r="O44" s="42">
        <f>Table1[[#This Row],[R]]</f>
        <v>0</v>
      </c>
      <c r="P44" s="42">
        <f>Table1[[#This Row],[V]]</f>
        <v>0</v>
      </c>
      <c r="Q44" s="42">
        <f>Table1[[#This Row],[VJ]]</f>
        <v>0</v>
      </c>
      <c r="R44" s="42">
        <f>Table1[[#This Row],[RN]]</f>
        <v>0</v>
      </c>
      <c r="S44" s="42">
        <f>Table1[[#This Row],[Blank]]</f>
        <v>0</v>
      </c>
      <c r="T44" s="43">
        <f>SUM(Table14[[#This Row],[B]:[Blank]])</f>
        <v>0</v>
      </c>
      <c r="U44" s="114">
        <v>3.37</v>
      </c>
      <c r="V44" s="115">
        <f t="shared" si="0"/>
        <v>0</v>
      </c>
      <c r="W44" s="191">
        <v>1.117</v>
      </c>
      <c r="X44" s="113">
        <f>Table14[[#This Row],[Coil Size]]*Table14[[#This Row],[D10]]/1000*VLOOKUP(Table14[[#This Row],[Navision Code]],'TABULAR PRICE LIST'!A:L,11,FALSE)</f>
        <v>0</v>
      </c>
      <c r="Y44" s="113">
        <f>IFERROR(Table14[[#This Row],[Coil Size]]*Table14[[#This Row],[D10]]/1000*VLOOKUP(Table14[[#This Row],[Navision Code]],'TABULAR PRICE LIST'!A:L,10,FALSE),0)</f>
        <v>0</v>
      </c>
      <c r="Z44" s="113">
        <f>VLOOKUP(C44,'TABULAR PRICE LIST'!$A:$L,12,FALSE)</f>
        <v>0</v>
      </c>
      <c r="AA44" s="113">
        <f>Table14[[#This Row],[Coil Size]]*Table14[[#This Row],[D10]]/1000</f>
        <v>0</v>
      </c>
      <c r="AB44" s="191">
        <f>Table14[[#This Row],[Weight/KYD]]*Table14[[#This Row],[D10]]</f>
        <v>0</v>
      </c>
      <c r="AC44" s="177"/>
      <c r="AD44" s="191">
        <v>100</v>
      </c>
    </row>
    <row r="45" spans="1:30" s="196" customFormat="1" ht="18.5" x14ac:dyDescent="0.45">
      <c r="A45" s="189" t="s">
        <v>30</v>
      </c>
      <c r="B45" s="18">
        <f t="shared" si="1"/>
        <v>36</v>
      </c>
      <c r="C45" s="19" t="s">
        <v>114</v>
      </c>
      <c r="D45" s="19" t="s">
        <v>15</v>
      </c>
      <c r="E45" s="19" t="s">
        <v>16</v>
      </c>
      <c r="F45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"),AD45,Table14[[#This Row],[Cod No]])</f>
        <v>100</v>
      </c>
      <c r="G45" s="20" t="s">
        <v>113</v>
      </c>
      <c r="H45" s="20" t="s">
        <v>97</v>
      </c>
      <c r="I45" s="20"/>
      <c r="J45" s="193">
        <f>Table1[[#This Row],[B]]</f>
        <v>0</v>
      </c>
      <c r="K45" s="44">
        <f>Table1[[#This Row],[BE]]</f>
        <v>0</v>
      </c>
      <c r="L45" s="44">
        <f>Table1[[#This Row],[G]]</f>
        <v>0</v>
      </c>
      <c r="M45" s="44">
        <f>Table1[[#This Row],[J]]</f>
        <v>0</v>
      </c>
      <c r="N45" s="193">
        <f>Table1[[#This Row],[N]]</f>
        <v>0</v>
      </c>
      <c r="O45" s="44">
        <f>Table1[[#This Row],[R]]</f>
        <v>0</v>
      </c>
      <c r="P45" s="44">
        <f>Table1[[#This Row],[V]]</f>
        <v>0</v>
      </c>
      <c r="Q45" s="44">
        <f>Table1[[#This Row],[VJ]]</f>
        <v>0</v>
      </c>
      <c r="R45" s="44">
        <f>Table1[[#This Row],[RN]]</f>
        <v>0</v>
      </c>
      <c r="S45" s="44">
        <f>Table1[[#This Row],[Blank]]</f>
        <v>0</v>
      </c>
      <c r="T45" s="45">
        <f>SUM(Table14[[#This Row],[B]:[Blank]])</f>
        <v>0</v>
      </c>
      <c r="U45" s="116">
        <v>3.91</v>
      </c>
      <c r="V45" s="118">
        <f t="shared" si="0"/>
        <v>0</v>
      </c>
      <c r="W45" s="111">
        <v>1.49</v>
      </c>
      <c r="X45" s="111" t="e">
        <f>Table14[[#This Row],[Coil Size]]*Table14[[#This Row],[D10]]/1000*VLOOKUP(Table14[[#This Row],[Navision Code]],'TABULAR PRICE LIST'!A:L,11,FALSE)</f>
        <v>#N/A</v>
      </c>
      <c r="Y45" s="111">
        <f>IFERROR(Table14[[#This Row],[Coil Size]]*Table14[[#This Row],[D10]]/1000*VLOOKUP(Table14[[#This Row],[Navision Code]],'TABULAR PRICE LIST'!A:L,10,FALSE),0)</f>
        <v>0</v>
      </c>
      <c r="Z45" s="111" t="e">
        <f>VLOOKUP(C45,'TABULAR PRICE LIST'!$A:$L,12,FALSE)</f>
        <v>#N/A</v>
      </c>
      <c r="AA45" s="111">
        <f>Table14[[#This Row],[Coil Size]]*Table14[[#This Row],[D10]]/1000</f>
        <v>0</v>
      </c>
      <c r="AB45" s="111">
        <f>Table14[[#This Row],[Weight/KYD]]*Table14[[#This Row],[D10]]</f>
        <v>0</v>
      </c>
      <c r="AC45" s="177"/>
      <c r="AD45" s="111">
        <v>100</v>
      </c>
    </row>
    <row r="46" spans="1:30" s="196" customFormat="1" ht="18.5" x14ac:dyDescent="0.45">
      <c r="A46" s="189" t="s">
        <v>30</v>
      </c>
      <c r="B46" s="18">
        <f t="shared" si="1"/>
        <v>37</v>
      </c>
      <c r="C46" s="19" t="s">
        <v>115</v>
      </c>
      <c r="D46" s="19" t="s">
        <v>15</v>
      </c>
      <c r="E46" s="19" t="s">
        <v>16</v>
      </c>
      <c r="F46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"),AD46,Table14[[#This Row],[Cod No]])</f>
        <v>100</v>
      </c>
      <c r="G46" s="20" t="s">
        <v>113</v>
      </c>
      <c r="H46" s="20" t="s">
        <v>116</v>
      </c>
      <c r="I46" s="20"/>
      <c r="J46" s="193">
        <f>Table1[[#This Row],[B]]</f>
        <v>0</v>
      </c>
      <c r="K46" s="44">
        <f>Table1[[#This Row],[BE]]</f>
        <v>0</v>
      </c>
      <c r="L46" s="44">
        <f>Table1[[#This Row],[G]]</f>
        <v>0</v>
      </c>
      <c r="M46" s="44">
        <f>Table1[[#This Row],[J]]</f>
        <v>0</v>
      </c>
      <c r="N46" s="193">
        <f>Table1[[#This Row],[N]]</f>
        <v>0</v>
      </c>
      <c r="O46" s="44">
        <f>Table1[[#This Row],[R]]</f>
        <v>0</v>
      </c>
      <c r="P46" s="44">
        <f>Table1[[#This Row],[V]]</f>
        <v>0</v>
      </c>
      <c r="Q46" s="44">
        <f>Table1[[#This Row],[VJ]]</f>
        <v>0</v>
      </c>
      <c r="R46" s="44">
        <f>Table1[[#This Row],[RN]]</f>
        <v>0</v>
      </c>
      <c r="S46" s="44">
        <f>Table1[[#This Row],[Blank]]</f>
        <v>0</v>
      </c>
      <c r="T46" s="45">
        <f>SUM(Table14[[#This Row],[B]:[Blank]])</f>
        <v>0</v>
      </c>
      <c r="U46" s="116">
        <v>4.9000000000000004</v>
      </c>
      <c r="V46" s="118">
        <f t="shared" si="0"/>
        <v>0</v>
      </c>
      <c r="W46" s="111">
        <v>1.1160000000000001</v>
      </c>
      <c r="X46" s="111">
        <f>Table14[[#This Row],[Coil Size]]*Table14[[#This Row],[D10]]/1000*VLOOKUP(Table14[[#This Row],[Navision Code]],'TABULAR PRICE LIST'!A:L,11,FALSE)</f>
        <v>0</v>
      </c>
      <c r="Y46" s="111">
        <f>IFERROR(Table14[[#This Row],[Coil Size]]*Table14[[#This Row],[D10]]/1000*VLOOKUP(Table14[[#This Row],[Navision Code]],'TABULAR PRICE LIST'!A:L,10,FALSE),0)</f>
        <v>0</v>
      </c>
      <c r="Z46" s="111">
        <f>VLOOKUP(C46,'TABULAR PRICE LIST'!$A:$L,12,FALSE)</f>
        <v>542</v>
      </c>
      <c r="AA46" s="111">
        <f>Table14[[#This Row],[Coil Size]]*Table14[[#This Row],[D10]]/1000</f>
        <v>0</v>
      </c>
      <c r="AB46" s="111">
        <f>Table14[[#This Row],[Weight/KYD]]*Table14[[#This Row],[D10]]</f>
        <v>0</v>
      </c>
      <c r="AC46" s="177"/>
      <c r="AD46" s="111">
        <v>100</v>
      </c>
    </row>
    <row r="47" spans="1:30" s="196" customFormat="1" ht="18.5" x14ac:dyDescent="0.45">
      <c r="A47" s="189" t="s">
        <v>30</v>
      </c>
      <c r="B47" s="18">
        <f t="shared" si="1"/>
        <v>38</v>
      </c>
      <c r="C47" s="19" t="s">
        <v>117</v>
      </c>
      <c r="D47" s="19" t="s">
        <v>15</v>
      </c>
      <c r="E47" s="19" t="s">
        <v>16</v>
      </c>
      <c r="F47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"),AD47,Table14[[#This Row],[Cod No]])</f>
        <v>100</v>
      </c>
      <c r="G47" s="20" t="s">
        <v>113</v>
      </c>
      <c r="H47" s="20" t="s">
        <v>118</v>
      </c>
      <c r="I47" s="20"/>
      <c r="J47" s="193">
        <f>Table1[[#This Row],[B]]</f>
        <v>0</v>
      </c>
      <c r="K47" s="44">
        <f>Table1[[#This Row],[BE]]</f>
        <v>0</v>
      </c>
      <c r="L47" s="44">
        <f>Table1[[#This Row],[G]]</f>
        <v>0</v>
      </c>
      <c r="M47" s="44">
        <f>Table1[[#This Row],[J]]</f>
        <v>0</v>
      </c>
      <c r="N47" s="193">
        <f>Table1[[#This Row],[N]]</f>
        <v>0</v>
      </c>
      <c r="O47" s="44">
        <f>Table1[[#This Row],[R]]</f>
        <v>0</v>
      </c>
      <c r="P47" s="44">
        <f>Table1[[#This Row],[V]]</f>
        <v>0</v>
      </c>
      <c r="Q47" s="44">
        <f>Table1[[#This Row],[VJ]]</f>
        <v>0</v>
      </c>
      <c r="R47" s="44">
        <f>Table1[[#This Row],[RN]]</f>
        <v>0</v>
      </c>
      <c r="S47" s="44">
        <f>Table1[[#This Row],[Blank]]</f>
        <v>0</v>
      </c>
      <c r="T47" s="45">
        <f>SUM(Table14[[#This Row],[B]:[Blank]])</f>
        <v>0</v>
      </c>
      <c r="U47" s="116">
        <v>4.17</v>
      </c>
      <c r="V47" s="118">
        <f t="shared" si="0"/>
        <v>0</v>
      </c>
      <c r="W47" s="111">
        <v>1.675</v>
      </c>
      <c r="X47" s="111" t="e">
        <f>Table14[[#This Row],[Coil Size]]*Table14[[#This Row],[D10]]/1000*VLOOKUP(Table14[[#This Row],[Navision Code]],'TABULAR PRICE LIST'!A:L,11,FALSE)</f>
        <v>#N/A</v>
      </c>
      <c r="Y47" s="111">
        <f>IFERROR(Table14[[#This Row],[Coil Size]]*Table14[[#This Row],[D10]]/1000*VLOOKUP(Table14[[#This Row],[Navision Code]],'TABULAR PRICE LIST'!A:L,10,FALSE),0)</f>
        <v>0</v>
      </c>
      <c r="Z47" s="111" t="e">
        <f>VLOOKUP(C47,'TABULAR PRICE LIST'!$A:$L,12,FALSE)</f>
        <v>#N/A</v>
      </c>
      <c r="AA47" s="111">
        <f>Table14[[#This Row],[Coil Size]]*Table14[[#This Row],[D10]]/1000</f>
        <v>0</v>
      </c>
      <c r="AB47" s="111">
        <f>Table14[[#This Row],[Weight/KYD]]*Table14[[#This Row],[D10]]</f>
        <v>0</v>
      </c>
      <c r="AC47" s="177"/>
      <c r="AD47" s="111">
        <v>100</v>
      </c>
    </row>
    <row r="48" spans="1:30" s="196" customFormat="1" ht="18.5" x14ac:dyDescent="0.45">
      <c r="A48" s="189" t="s">
        <v>30</v>
      </c>
      <c r="B48" s="18">
        <f t="shared" si="1"/>
        <v>39</v>
      </c>
      <c r="C48" s="19" t="s">
        <v>119</v>
      </c>
      <c r="D48" s="19" t="s">
        <v>15</v>
      </c>
      <c r="E48" s="19" t="s">
        <v>16</v>
      </c>
      <c r="F48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"),AD48,Table14[[#This Row],[Cod No]])</f>
        <v>100</v>
      </c>
      <c r="G48" s="20" t="s">
        <v>113</v>
      </c>
      <c r="H48" s="20" t="s">
        <v>120</v>
      </c>
      <c r="I48" s="20"/>
      <c r="J48" s="193">
        <f>Table1[[#This Row],[B]]</f>
        <v>0</v>
      </c>
      <c r="K48" s="44">
        <f>Table1[[#This Row],[BE]]</f>
        <v>0</v>
      </c>
      <c r="L48" s="44">
        <f>Table1[[#This Row],[G]]</f>
        <v>0</v>
      </c>
      <c r="M48" s="44">
        <f>Table1[[#This Row],[J]]</f>
        <v>0</v>
      </c>
      <c r="N48" s="193">
        <f>Table1[[#This Row],[N]]</f>
        <v>0</v>
      </c>
      <c r="O48" s="44">
        <f>Table1[[#This Row],[R]]</f>
        <v>0</v>
      </c>
      <c r="P48" s="44">
        <f>Table1[[#This Row],[V]]</f>
        <v>0</v>
      </c>
      <c r="Q48" s="44">
        <f>Table1[[#This Row],[VJ]]</f>
        <v>0</v>
      </c>
      <c r="R48" s="44">
        <f>Table1[[#This Row],[RN]]</f>
        <v>0</v>
      </c>
      <c r="S48" s="44">
        <f>Table1[[#This Row],[Blank]]</f>
        <v>0</v>
      </c>
      <c r="T48" s="45">
        <f>SUM(Table14[[#This Row],[B]:[Blank]])</f>
        <v>0</v>
      </c>
      <c r="U48" s="116">
        <v>5.15</v>
      </c>
      <c r="V48" s="118">
        <f t="shared" si="0"/>
        <v>0</v>
      </c>
      <c r="W48" s="111">
        <v>2.2349999999999999</v>
      </c>
      <c r="X48" s="111" t="e">
        <f>Table14[[#This Row],[Coil Size]]*Table14[[#This Row],[D10]]/1000*VLOOKUP(Table14[[#This Row],[Navision Code]],'TABULAR PRICE LIST'!A:L,11,FALSE)</f>
        <v>#N/A</v>
      </c>
      <c r="Y48" s="111">
        <f>IFERROR(Table14[[#This Row],[Coil Size]]*Table14[[#This Row],[D10]]/1000*VLOOKUP(Table14[[#This Row],[Navision Code]],'TABULAR PRICE LIST'!A:L,10,FALSE),0)</f>
        <v>0</v>
      </c>
      <c r="Z48" s="111" t="e">
        <f>VLOOKUP(C48,'TABULAR PRICE LIST'!$A:$L,12,FALSE)</f>
        <v>#N/A</v>
      </c>
      <c r="AA48" s="111">
        <f>Table14[[#This Row],[Coil Size]]*Table14[[#This Row],[D10]]/1000</f>
        <v>0</v>
      </c>
      <c r="AB48" s="111">
        <f>Table14[[#This Row],[Weight/KYD]]*Table14[[#This Row],[D10]]</f>
        <v>0</v>
      </c>
      <c r="AC48" s="177"/>
      <c r="AD48" s="111">
        <v>100</v>
      </c>
    </row>
    <row r="49" spans="1:30" s="196" customFormat="1" ht="18.5" x14ac:dyDescent="0.45">
      <c r="A49" s="189" t="s">
        <v>30</v>
      </c>
      <c r="B49" s="18">
        <f t="shared" si="1"/>
        <v>40</v>
      </c>
      <c r="C49" s="19" t="s">
        <v>121</v>
      </c>
      <c r="D49" s="19" t="s">
        <v>15</v>
      </c>
      <c r="E49" s="19" t="s">
        <v>16</v>
      </c>
      <c r="F49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"),AD49,Table14[[#This Row],[Cod No]])</f>
        <v>100</v>
      </c>
      <c r="G49" s="20" t="s">
        <v>113</v>
      </c>
      <c r="H49" s="20" t="s">
        <v>122</v>
      </c>
      <c r="I49" s="20"/>
      <c r="J49" s="193">
        <f>Table1[[#This Row],[B]]</f>
        <v>0</v>
      </c>
      <c r="K49" s="44">
        <f>Table1[[#This Row],[BE]]</f>
        <v>0</v>
      </c>
      <c r="L49" s="44">
        <f>Table1[[#This Row],[G]]</f>
        <v>0</v>
      </c>
      <c r="M49" s="44">
        <f>Table1[[#This Row],[J]]</f>
        <v>0</v>
      </c>
      <c r="N49" s="193">
        <f>Table1[[#This Row],[N]]</f>
        <v>0</v>
      </c>
      <c r="O49" s="44">
        <f>Table1[[#This Row],[R]]</f>
        <v>0</v>
      </c>
      <c r="P49" s="44">
        <f>Table1[[#This Row],[V]]</f>
        <v>0</v>
      </c>
      <c r="Q49" s="44">
        <f>Table1[[#This Row],[VJ]]</f>
        <v>0</v>
      </c>
      <c r="R49" s="44">
        <f>Table1[[#This Row],[RN]]</f>
        <v>0</v>
      </c>
      <c r="S49" s="44">
        <f>Table1[[#This Row],[Blank]]</f>
        <v>0</v>
      </c>
      <c r="T49" s="45">
        <f>SUM(Table14[[#This Row],[B]:[Blank]])</f>
        <v>0</v>
      </c>
      <c r="U49" s="116">
        <v>6.375</v>
      </c>
      <c r="V49" s="118">
        <f t="shared" si="0"/>
        <v>0</v>
      </c>
      <c r="W49" s="111">
        <v>1.488</v>
      </c>
      <c r="X49" s="111" t="e">
        <f>Table14[[#This Row],[Coil Size]]*Table14[[#This Row],[D10]]/1000*VLOOKUP(Table14[[#This Row],[Navision Code]],'TABULAR PRICE LIST'!A:L,11,FALSE)</f>
        <v>#N/A</v>
      </c>
      <c r="Y49" s="111">
        <f>IFERROR(Table14[[#This Row],[Coil Size]]*Table14[[#This Row],[D10]]/1000*VLOOKUP(Table14[[#This Row],[Navision Code]],'TABULAR PRICE LIST'!A:L,10,FALSE),0)</f>
        <v>0</v>
      </c>
      <c r="Z49" s="111" t="e">
        <f>VLOOKUP(C49,'TABULAR PRICE LIST'!$A:$L,12,FALSE)</f>
        <v>#N/A</v>
      </c>
      <c r="AA49" s="111">
        <f>Table14[[#This Row],[Coil Size]]*Table14[[#This Row],[D10]]/1000</f>
        <v>0</v>
      </c>
      <c r="AB49" s="111">
        <f>Table14[[#This Row],[Weight/KYD]]*Table14[[#This Row],[D10]]</f>
        <v>0</v>
      </c>
      <c r="AC49" s="177"/>
      <c r="AD49" s="111">
        <v>100</v>
      </c>
    </row>
    <row r="50" spans="1:30" s="196" customFormat="1" ht="18.5" x14ac:dyDescent="0.45">
      <c r="A50" s="189" t="s">
        <v>30</v>
      </c>
      <c r="B50" s="18">
        <f t="shared" si="1"/>
        <v>41</v>
      </c>
      <c r="C50" s="19" t="s">
        <v>123</v>
      </c>
      <c r="D50" s="19" t="s">
        <v>15</v>
      </c>
      <c r="E50" s="19" t="s">
        <v>16</v>
      </c>
      <c r="F50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"),AD50,Table14[[#This Row],[Cod No]])</f>
        <v>100</v>
      </c>
      <c r="G50" s="20" t="s">
        <v>113</v>
      </c>
      <c r="H50" s="20" t="s">
        <v>124</v>
      </c>
      <c r="I50" s="20"/>
      <c r="J50" s="193">
        <f>Table1[[#This Row],[B]]</f>
        <v>0</v>
      </c>
      <c r="K50" s="44">
        <f>Table1[[#This Row],[BE]]</f>
        <v>0</v>
      </c>
      <c r="L50" s="44">
        <f>Table1[[#This Row],[G]]</f>
        <v>0</v>
      </c>
      <c r="M50" s="44">
        <f>Table1[[#This Row],[J]]</f>
        <v>0</v>
      </c>
      <c r="N50" s="193">
        <f>Table1[[#This Row],[N]]</f>
        <v>0</v>
      </c>
      <c r="O50" s="44">
        <f>Table1[[#This Row],[R]]</f>
        <v>0</v>
      </c>
      <c r="P50" s="44">
        <f>Table1[[#This Row],[V]]</f>
        <v>0</v>
      </c>
      <c r="Q50" s="44">
        <f>Table1[[#This Row],[VJ]]</f>
        <v>0</v>
      </c>
      <c r="R50" s="44">
        <f>Table1[[#This Row],[RN]]</f>
        <v>0</v>
      </c>
      <c r="S50" s="44">
        <f>Table1[[#This Row],[Blank]]</f>
        <v>0</v>
      </c>
      <c r="T50" s="45">
        <f>SUM(Table14[[#This Row],[B]:[Blank]])</f>
        <v>0</v>
      </c>
      <c r="U50" s="116">
        <v>4.93</v>
      </c>
      <c r="V50" s="118">
        <f t="shared" si="0"/>
        <v>0</v>
      </c>
      <c r="W50" s="111">
        <v>2.234</v>
      </c>
      <c r="X50" s="111" t="e">
        <f>Table14[[#This Row],[Coil Size]]*Table14[[#This Row],[D10]]/1000*VLOOKUP(Table14[[#This Row],[Navision Code]],'TABULAR PRICE LIST'!A:L,11,FALSE)</f>
        <v>#N/A</v>
      </c>
      <c r="Y50" s="111">
        <f>IFERROR(Table14[[#This Row],[Coil Size]]*Table14[[#This Row],[D10]]/1000*VLOOKUP(Table14[[#This Row],[Navision Code]],'TABULAR PRICE LIST'!A:L,10,FALSE),0)</f>
        <v>0</v>
      </c>
      <c r="Z50" s="111" t="e">
        <f>VLOOKUP(C50,'TABULAR PRICE LIST'!$A:$L,12,FALSE)</f>
        <v>#N/A</v>
      </c>
      <c r="AA50" s="111">
        <f>Table14[[#This Row],[Coil Size]]*Table14[[#This Row],[D10]]/1000</f>
        <v>0</v>
      </c>
      <c r="AB50" s="111">
        <f>Table14[[#This Row],[Weight/KYD]]*Table14[[#This Row],[D10]]</f>
        <v>0</v>
      </c>
      <c r="AC50" s="177"/>
      <c r="AD50" s="111">
        <v>100</v>
      </c>
    </row>
    <row r="51" spans="1:30" s="196" customFormat="1" ht="18.5" x14ac:dyDescent="0.45">
      <c r="A51" s="189" t="s">
        <v>30</v>
      </c>
      <c r="B51" s="18">
        <f t="shared" si="1"/>
        <v>42</v>
      </c>
      <c r="C51" s="19" t="s">
        <v>125</v>
      </c>
      <c r="D51" s="19" t="s">
        <v>15</v>
      </c>
      <c r="E51" s="19" t="s">
        <v>16</v>
      </c>
      <c r="F51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"),AD51,Table14[[#This Row],[Cod No]])</f>
        <v>100</v>
      </c>
      <c r="G51" s="20" t="s">
        <v>113</v>
      </c>
      <c r="H51" s="20" t="s">
        <v>126</v>
      </c>
      <c r="I51" s="20"/>
      <c r="J51" s="193">
        <f>Table1[[#This Row],[B]]</f>
        <v>0</v>
      </c>
      <c r="K51" s="44">
        <f>Table1[[#This Row],[BE]]</f>
        <v>0</v>
      </c>
      <c r="L51" s="44">
        <f>Table1[[#This Row],[G]]</f>
        <v>0</v>
      </c>
      <c r="M51" s="44">
        <f>Table1[[#This Row],[J]]</f>
        <v>0</v>
      </c>
      <c r="N51" s="193">
        <f>Table1[[#This Row],[N]]</f>
        <v>0</v>
      </c>
      <c r="O51" s="44">
        <f>Table1[[#This Row],[R]]</f>
        <v>0</v>
      </c>
      <c r="P51" s="44">
        <f>Table1[[#This Row],[V]]</f>
        <v>0</v>
      </c>
      <c r="Q51" s="44">
        <f>Table1[[#This Row],[VJ]]</f>
        <v>0</v>
      </c>
      <c r="R51" s="44">
        <f>Table1[[#This Row],[RN]]</f>
        <v>0</v>
      </c>
      <c r="S51" s="44">
        <f>Table1[[#This Row],[Blank]]</f>
        <v>0</v>
      </c>
      <c r="T51" s="45">
        <f>SUM(Table14[[#This Row],[B]:[Blank]])</f>
        <v>0</v>
      </c>
      <c r="U51" s="116">
        <v>6.15</v>
      </c>
      <c r="V51" s="118">
        <f t="shared" si="0"/>
        <v>0</v>
      </c>
      <c r="W51" s="111">
        <v>2.98</v>
      </c>
      <c r="X51" s="111" t="e">
        <f>Table14[[#This Row],[Coil Size]]*Table14[[#This Row],[D10]]/1000*VLOOKUP(Table14[[#This Row],[Navision Code]],'TABULAR PRICE LIST'!A:L,11,FALSE)</f>
        <v>#N/A</v>
      </c>
      <c r="Y51" s="111">
        <f>IFERROR(Table14[[#This Row],[Coil Size]]*Table14[[#This Row],[D10]]/1000*VLOOKUP(Table14[[#This Row],[Navision Code]],'TABULAR PRICE LIST'!A:L,10,FALSE),0)</f>
        <v>0</v>
      </c>
      <c r="Z51" s="111" t="e">
        <f>VLOOKUP(C51,'TABULAR PRICE LIST'!$A:$L,12,FALSE)</f>
        <v>#N/A</v>
      </c>
      <c r="AA51" s="111">
        <f>Table14[[#This Row],[Coil Size]]*Table14[[#This Row],[D10]]/1000</f>
        <v>0</v>
      </c>
      <c r="AB51" s="111">
        <f>Table14[[#This Row],[Weight/KYD]]*Table14[[#This Row],[D10]]</f>
        <v>0</v>
      </c>
      <c r="AC51" s="177"/>
      <c r="AD51" s="111">
        <v>100</v>
      </c>
    </row>
    <row r="52" spans="1:30" s="196" customFormat="1" thickBot="1" x14ac:dyDescent="0.5">
      <c r="A52" s="189" t="s">
        <v>30</v>
      </c>
      <c r="B52" s="23">
        <f t="shared" si="1"/>
        <v>43</v>
      </c>
      <c r="C52" s="24" t="s">
        <v>127</v>
      </c>
      <c r="D52" s="24" t="s">
        <v>15</v>
      </c>
      <c r="E52" s="24" t="s">
        <v>16</v>
      </c>
      <c r="F52" s="24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"),AD52,Table14[[#This Row],[Cod No]])</f>
        <v>100</v>
      </c>
      <c r="G52" s="25" t="s">
        <v>113</v>
      </c>
      <c r="H52" s="25" t="s">
        <v>128</v>
      </c>
      <c r="I52" s="25"/>
      <c r="J52" s="195">
        <f>Table1[[#This Row],[B]]</f>
        <v>0</v>
      </c>
      <c r="K52" s="46">
        <f>Table1[[#This Row],[BE]]</f>
        <v>0</v>
      </c>
      <c r="L52" s="46">
        <f>Table1[[#This Row],[G]]</f>
        <v>0</v>
      </c>
      <c r="M52" s="46">
        <f>Table1[[#This Row],[J]]</f>
        <v>0</v>
      </c>
      <c r="N52" s="195">
        <f>Table1[[#This Row],[N]]</f>
        <v>0</v>
      </c>
      <c r="O52" s="46">
        <f>Table1[[#This Row],[R]]</f>
        <v>0</v>
      </c>
      <c r="P52" s="46">
        <f>Table1[[#This Row],[V]]</f>
        <v>0</v>
      </c>
      <c r="Q52" s="46">
        <f>Table1[[#This Row],[VJ]]</f>
        <v>0</v>
      </c>
      <c r="R52" s="46">
        <f>Table1[[#This Row],[RN]]</f>
        <v>0</v>
      </c>
      <c r="S52" s="46">
        <f>Table1[[#This Row],[Blank]]</f>
        <v>0</v>
      </c>
      <c r="T52" s="47">
        <f>SUM(Table14[[#This Row],[B]:[Blank]])</f>
        <v>0</v>
      </c>
      <c r="U52" s="119">
        <v>7.665</v>
      </c>
      <c r="V52" s="120">
        <f t="shared" si="0"/>
        <v>0</v>
      </c>
      <c r="W52" s="112">
        <v>2.1920000000000002</v>
      </c>
      <c r="X52" s="112">
        <f>Table14[[#This Row],[Coil Size]]*Table14[[#This Row],[D10]]/1000*VLOOKUP(Table14[[#This Row],[Navision Code]],'TABULAR PRICE LIST'!A:L,11,FALSE)</f>
        <v>0</v>
      </c>
      <c r="Y52" s="112">
        <f>IFERROR(Table14[[#This Row],[Coil Size]]*Table14[[#This Row],[D10]]/1000*VLOOKUP(Table14[[#This Row],[Navision Code]],'TABULAR PRICE LIST'!A:L,10,FALSE),0)</f>
        <v>0</v>
      </c>
      <c r="Z52" s="112">
        <f>VLOOKUP(C52,'TABULAR PRICE LIST'!$A:$L,12,FALSE)</f>
        <v>955</v>
      </c>
      <c r="AA52" s="112">
        <f>Table14[[#This Row],[Coil Size]]*Table14[[#This Row],[D10]]/1000</f>
        <v>0</v>
      </c>
      <c r="AB52" s="112">
        <f>Table14[[#This Row],[Weight/KYD]]*Table14[[#This Row],[D10]]</f>
        <v>0</v>
      </c>
      <c r="AC52" s="177"/>
      <c r="AD52" s="112">
        <v>100</v>
      </c>
    </row>
    <row r="53" spans="1:30" s="196" customFormat="1" ht="18.5" x14ac:dyDescent="0.45">
      <c r="A53" s="189" t="s">
        <v>30</v>
      </c>
      <c r="B53" s="15">
        <f t="shared" si="1"/>
        <v>44</v>
      </c>
      <c r="C53" s="16" t="s">
        <v>21</v>
      </c>
      <c r="D53" s="16" t="s">
        <v>15</v>
      </c>
      <c r="E53" s="16" t="s">
        <v>16</v>
      </c>
      <c r="F53" s="16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"),AD53,Table14[[#This Row],[Cod No]])</f>
        <v>100</v>
      </c>
      <c r="G53" s="17" t="s">
        <v>129</v>
      </c>
      <c r="H53" s="17" t="s">
        <v>103</v>
      </c>
      <c r="I53" s="17"/>
      <c r="J53" s="190">
        <f>Table1[[#This Row],[B]]</f>
        <v>0</v>
      </c>
      <c r="K53" s="42">
        <f>Table1[[#This Row],[BE]]</f>
        <v>0</v>
      </c>
      <c r="L53" s="42">
        <f>Table1[[#This Row],[G]]</f>
        <v>0</v>
      </c>
      <c r="M53" s="42">
        <f>Table1[[#This Row],[J]]</f>
        <v>0</v>
      </c>
      <c r="N53" s="190">
        <f>Table1[[#This Row],[N]]</f>
        <v>0</v>
      </c>
      <c r="O53" s="42">
        <f>Table1[[#This Row],[R]]</f>
        <v>0</v>
      </c>
      <c r="P53" s="42">
        <f>Table1[[#This Row],[V]]</f>
        <v>0</v>
      </c>
      <c r="Q53" s="42">
        <f>Table1[[#This Row],[VJ]]</f>
        <v>0</v>
      </c>
      <c r="R53" s="42">
        <f>Table1[[#This Row],[RN]]</f>
        <v>0</v>
      </c>
      <c r="S53" s="42">
        <f>Table1[[#This Row],[Blank]]</f>
        <v>0</v>
      </c>
      <c r="T53" s="43">
        <f>SUM(Table14[[#This Row],[B]:[Blank]])</f>
        <v>0</v>
      </c>
      <c r="U53" s="114">
        <v>6.84</v>
      </c>
      <c r="V53" s="115">
        <f t="shared" si="0"/>
        <v>0</v>
      </c>
      <c r="W53" s="191">
        <v>3.6520000000000006</v>
      </c>
      <c r="X53" s="113">
        <f>Table14[[#This Row],[Coil Size]]*Table14[[#This Row],[D10]]/1000*VLOOKUP(Table14[[#This Row],[Navision Code]],'TABULAR PRICE LIST'!A:L,11,FALSE)</f>
        <v>0</v>
      </c>
      <c r="Y53" s="113">
        <f>IFERROR(Table14[[#This Row],[Coil Size]]*Table14[[#This Row],[D10]]/1000*VLOOKUP(Table14[[#This Row],[Navision Code]],'TABULAR PRICE LIST'!A:L,10,FALSE),0)</f>
        <v>0</v>
      </c>
      <c r="Z53" s="113">
        <f>VLOOKUP(C53,'TABULAR PRICE LIST'!$A:$L,12,FALSE)</f>
        <v>693</v>
      </c>
      <c r="AA53" s="113">
        <f>Table14[[#This Row],[Coil Size]]*Table14[[#This Row],[D10]]/1000</f>
        <v>0</v>
      </c>
      <c r="AB53" s="191">
        <f>Table14[[#This Row],[Weight/KYD]]*Table14[[#This Row],[D10]]</f>
        <v>0</v>
      </c>
      <c r="AC53" s="177"/>
      <c r="AD53" s="191">
        <v>100</v>
      </c>
    </row>
    <row r="54" spans="1:30" s="196" customFormat="1" ht="18.5" x14ac:dyDescent="0.45">
      <c r="A54" s="189" t="s">
        <v>30</v>
      </c>
      <c r="B54" s="18">
        <f t="shared" si="1"/>
        <v>45</v>
      </c>
      <c r="C54" s="19" t="s">
        <v>130</v>
      </c>
      <c r="D54" s="19" t="s">
        <v>15</v>
      </c>
      <c r="E54" s="19" t="s">
        <v>16</v>
      </c>
      <c r="F54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"),AD54,Table14[[#This Row],[Cod No]])</f>
        <v>100</v>
      </c>
      <c r="G54" s="20" t="s">
        <v>129</v>
      </c>
      <c r="H54" s="20" t="s">
        <v>111</v>
      </c>
      <c r="I54" s="20"/>
      <c r="J54" s="193">
        <f>Table1[[#This Row],[B]]</f>
        <v>0</v>
      </c>
      <c r="K54" s="44">
        <f>Table1[[#This Row],[BE]]</f>
        <v>0</v>
      </c>
      <c r="L54" s="44">
        <f>Table1[[#This Row],[G]]</f>
        <v>0</v>
      </c>
      <c r="M54" s="44">
        <f>Table1[[#This Row],[J]]</f>
        <v>0</v>
      </c>
      <c r="N54" s="193">
        <f>Table1[[#This Row],[N]]</f>
        <v>0</v>
      </c>
      <c r="O54" s="44">
        <f>Table1[[#This Row],[R]]</f>
        <v>0</v>
      </c>
      <c r="P54" s="44">
        <f>Table1[[#This Row],[V]]</f>
        <v>0</v>
      </c>
      <c r="Q54" s="44">
        <f>Table1[[#This Row],[VJ]]</f>
        <v>0</v>
      </c>
      <c r="R54" s="44">
        <f>Table1[[#This Row],[RN]]</f>
        <v>0</v>
      </c>
      <c r="S54" s="44">
        <f>Table1[[#This Row],[Blank]]</f>
        <v>0</v>
      </c>
      <c r="T54" s="45">
        <f>SUM(Table14[[#This Row],[B]:[Blank]])</f>
        <v>0</v>
      </c>
      <c r="U54" s="116">
        <v>10.265000000000001</v>
      </c>
      <c r="V54" s="118">
        <f t="shared" si="0"/>
        <v>0</v>
      </c>
      <c r="W54" s="111">
        <v>5.9039999999999999</v>
      </c>
      <c r="X54" s="111">
        <f>Table14[[#This Row],[Coil Size]]*Table14[[#This Row],[D10]]/1000*VLOOKUP(Table14[[#This Row],[Navision Code]],'TABULAR PRICE LIST'!A:L,11,FALSE)</f>
        <v>0</v>
      </c>
      <c r="Y54" s="111">
        <f>IFERROR(Table14[[#This Row],[Coil Size]]*Table14[[#This Row],[D10]]/1000*VLOOKUP(Table14[[#This Row],[Navision Code]],'TABULAR PRICE LIST'!A:L,10,FALSE),0)</f>
        <v>0</v>
      </c>
      <c r="Z54" s="111">
        <f>VLOOKUP(C54,'TABULAR PRICE LIST'!$A:$L,12,FALSE)</f>
        <v>1101</v>
      </c>
      <c r="AA54" s="111">
        <f>Table14[[#This Row],[Coil Size]]*Table14[[#This Row],[D10]]/1000</f>
        <v>0</v>
      </c>
      <c r="AB54" s="111">
        <f>Table14[[#This Row],[Weight/KYD]]*Table14[[#This Row],[D10]]</f>
        <v>0</v>
      </c>
      <c r="AC54" s="177"/>
      <c r="AD54" s="111">
        <v>100</v>
      </c>
    </row>
    <row r="55" spans="1:30" s="196" customFormat="1" ht="18.5" x14ac:dyDescent="0.45">
      <c r="A55" s="189" t="s">
        <v>30</v>
      </c>
      <c r="B55" s="18">
        <f t="shared" si="1"/>
        <v>46</v>
      </c>
      <c r="C55" s="19" t="s">
        <v>131</v>
      </c>
      <c r="D55" s="19" t="s">
        <v>15</v>
      </c>
      <c r="E55" s="19" t="s">
        <v>16</v>
      </c>
      <c r="F55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"),AD55,Table14[[#This Row],[Cod No]])</f>
        <v>100</v>
      </c>
      <c r="G55" s="20" t="s">
        <v>129</v>
      </c>
      <c r="H55" s="20" t="s">
        <v>132</v>
      </c>
      <c r="I55" s="20"/>
      <c r="J55" s="193">
        <f>Table1[[#This Row],[B]]</f>
        <v>0</v>
      </c>
      <c r="K55" s="44">
        <f>Table1[[#This Row],[BE]]</f>
        <v>0</v>
      </c>
      <c r="L55" s="44">
        <f>Table1[[#This Row],[G]]</f>
        <v>0</v>
      </c>
      <c r="M55" s="44">
        <f>Table1[[#This Row],[J]]</f>
        <v>0</v>
      </c>
      <c r="N55" s="193">
        <f>Table1[[#This Row],[N]]</f>
        <v>0</v>
      </c>
      <c r="O55" s="44">
        <f>Table1[[#This Row],[R]]</f>
        <v>0</v>
      </c>
      <c r="P55" s="44">
        <f>Table1[[#This Row],[V]]</f>
        <v>0</v>
      </c>
      <c r="Q55" s="44">
        <f>Table1[[#This Row],[VJ]]</f>
        <v>0</v>
      </c>
      <c r="R55" s="44">
        <f>Table1[[#This Row],[RN]]</f>
        <v>0</v>
      </c>
      <c r="S55" s="44">
        <f>Table1[[#This Row],[Blank]]</f>
        <v>0</v>
      </c>
      <c r="T55" s="45">
        <f>SUM(Table14[[#This Row],[B]:[Blank]])</f>
        <v>0</v>
      </c>
      <c r="U55" s="116">
        <v>14.05</v>
      </c>
      <c r="V55" s="118">
        <f t="shared" si="0"/>
        <v>0</v>
      </c>
      <c r="W55" s="111">
        <v>8.7140000000000004</v>
      </c>
      <c r="X55" s="111">
        <f>Table14[[#This Row],[Coil Size]]*Table14[[#This Row],[D10]]/1000*VLOOKUP(Table14[[#This Row],[Navision Code]],'TABULAR PRICE LIST'!A:L,11,FALSE)</f>
        <v>0</v>
      </c>
      <c r="Y55" s="111">
        <f>IFERROR(Table14[[#This Row],[Coil Size]]*Table14[[#This Row],[D10]]/1000*VLOOKUP(Table14[[#This Row],[Navision Code]],'TABULAR PRICE LIST'!A:L,10,FALSE),0)</f>
        <v>0</v>
      </c>
      <c r="Z55" s="111">
        <f>VLOOKUP(C55,'TABULAR PRICE LIST'!$A:$L,12,FALSE)</f>
        <v>1657</v>
      </c>
      <c r="AA55" s="111">
        <f>Table14[[#This Row],[Coil Size]]*Table14[[#This Row],[D10]]/1000</f>
        <v>0</v>
      </c>
      <c r="AB55" s="111">
        <f>Table14[[#This Row],[Weight/KYD]]*Table14[[#This Row],[D10]]</f>
        <v>0</v>
      </c>
      <c r="AC55" s="177"/>
      <c r="AD55" s="111">
        <v>100</v>
      </c>
    </row>
    <row r="56" spans="1:30" s="196" customFormat="1" ht="18.5" x14ac:dyDescent="0.45">
      <c r="A56" s="189" t="s">
        <v>30</v>
      </c>
      <c r="B56" s="18">
        <f t="shared" si="1"/>
        <v>47</v>
      </c>
      <c r="C56" s="19" t="s">
        <v>133</v>
      </c>
      <c r="D56" s="19" t="s">
        <v>15</v>
      </c>
      <c r="E56" s="19" t="s">
        <v>16</v>
      </c>
      <c r="F56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"),AD56,Table14[[#This Row],[Cod No]])</f>
        <v>100</v>
      </c>
      <c r="G56" s="20" t="s">
        <v>129</v>
      </c>
      <c r="H56" s="20" t="s">
        <v>134</v>
      </c>
      <c r="I56" s="20"/>
      <c r="J56" s="193">
        <f>Table1[[#This Row],[B]]</f>
        <v>0</v>
      </c>
      <c r="K56" s="44">
        <f>Table1[[#This Row],[BE]]</f>
        <v>0</v>
      </c>
      <c r="L56" s="44">
        <f>Table1[[#This Row],[G]]</f>
        <v>0</v>
      </c>
      <c r="M56" s="44">
        <f>Table1[[#This Row],[J]]</f>
        <v>0</v>
      </c>
      <c r="N56" s="193">
        <f>Table1[[#This Row],[N]]</f>
        <v>0</v>
      </c>
      <c r="O56" s="44">
        <f>Table1[[#This Row],[R]]</f>
        <v>0</v>
      </c>
      <c r="P56" s="44">
        <f>Table1[[#This Row],[V]]</f>
        <v>0</v>
      </c>
      <c r="Q56" s="44">
        <f>Table1[[#This Row],[VJ]]</f>
        <v>0</v>
      </c>
      <c r="R56" s="44">
        <f>Table1[[#This Row],[RN]]</f>
        <v>0</v>
      </c>
      <c r="S56" s="44">
        <f>Table1[[#This Row],[Blank]]</f>
        <v>0</v>
      </c>
      <c r="T56" s="45">
        <f>SUM(Table14[[#This Row],[B]:[Blank]])</f>
        <v>0</v>
      </c>
      <c r="U56" s="116">
        <v>19.3</v>
      </c>
      <c r="V56" s="118">
        <f t="shared" si="0"/>
        <v>0</v>
      </c>
      <c r="W56" s="111">
        <v>7.6180000000000012</v>
      </c>
      <c r="X56" s="111">
        <f>Table14[[#This Row],[Coil Size]]*Table14[[#This Row],[D10]]/1000*VLOOKUP(Table14[[#This Row],[Navision Code]],'TABULAR PRICE LIST'!A:L,11,FALSE)</f>
        <v>0</v>
      </c>
      <c r="Y56" s="111">
        <f>IFERROR(Table14[[#This Row],[Coil Size]]*Table14[[#This Row],[D10]]/1000*VLOOKUP(Table14[[#This Row],[Navision Code]],'TABULAR PRICE LIST'!A:L,10,FALSE),0)</f>
        <v>0</v>
      </c>
      <c r="Z56" s="111">
        <f>VLOOKUP(C56,'TABULAR PRICE LIST'!$A:$L,12,FALSE)</f>
        <v>2416</v>
      </c>
      <c r="AA56" s="111">
        <f>Table14[[#This Row],[Coil Size]]*Table14[[#This Row],[D10]]/1000</f>
        <v>0</v>
      </c>
      <c r="AB56" s="111">
        <f>Table14[[#This Row],[Weight/KYD]]*Table14[[#This Row],[D10]]</f>
        <v>0</v>
      </c>
      <c r="AC56" s="177"/>
      <c r="AD56" s="111">
        <v>100</v>
      </c>
    </row>
    <row r="57" spans="1:30" s="196" customFormat="1" ht="18.5" x14ac:dyDescent="0.45">
      <c r="A57" s="189" t="s">
        <v>30</v>
      </c>
      <c r="B57" s="18">
        <f t="shared" si="1"/>
        <v>48</v>
      </c>
      <c r="C57" s="19" t="s">
        <v>135</v>
      </c>
      <c r="D57" s="19" t="s">
        <v>15</v>
      </c>
      <c r="E57" s="19" t="s">
        <v>16</v>
      </c>
      <c r="F57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"),AD57,Table14[[#This Row],[Cod No]])</f>
        <v>50</v>
      </c>
      <c r="G57" s="20" t="s">
        <v>129</v>
      </c>
      <c r="H57" s="20" t="s">
        <v>136</v>
      </c>
      <c r="I57" s="20">
        <v>50</v>
      </c>
      <c r="J57" s="193">
        <f>Table1[[#This Row],[B]]</f>
        <v>0</v>
      </c>
      <c r="K57" s="44">
        <f>Table1[[#This Row],[BE]]</f>
        <v>0</v>
      </c>
      <c r="L57" s="44">
        <f>Table1[[#This Row],[G]]</f>
        <v>0</v>
      </c>
      <c r="M57" s="44">
        <f>Table1[[#This Row],[J]]</f>
        <v>0</v>
      </c>
      <c r="N57" s="193">
        <f>Table1[[#This Row],[N]]</f>
        <v>0</v>
      </c>
      <c r="O57" s="44">
        <f>Table1[[#This Row],[R]]</f>
        <v>0</v>
      </c>
      <c r="P57" s="44">
        <f>Table1[[#This Row],[V]]</f>
        <v>0</v>
      </c>
      <c r="Q57" s="44">
        <f>Table1[[#This Row],[VJ]]</f>
        <v>0</v>
      </c>
      <c r="R57" s="44">
        <f>Table1[[#This Row],[RN]]</f>
        <v>0</v>
      </c>
      <c r="S57" s="44">
        <f>Table1[[#This Row],[Blank]]</f>
        <v>0</v>
      </c>
      <c r="T57" s="45">
        <f>SUM(Table14[[#This Row],[B]:[Blank]])</f>
        <v>0</v>
      </c>
      <c r="U57" s="116">
        <v>17.715</v>
      </c>
      <c r="V57" s="118">
        <f t="shared" si="0"/>
        <v>0</v>
      </c>
      <c r="W57" s="111">
        <v>3.2880000000000003</v>
      </c>
      <c r="X57" s="111">
        <f>Table14[[#This Row],[Coil Size]]*Table14[[#This Row],[D10]]/1000*VLOOKUP(Table14[[#This Row],[Navision Code]],'TABULAR PRICE LIST'!A:L,11,FALSE)</f>
        <v>0</v>
      </c>
      <c r="Y57" s="111">
        <f>IFERROR(Table14[[#This Row],[Coil Size]]*Table14[[#This Row],[D10]]/1000*VLOOKUP(Table14[[#This Row],[Navision Code]],'TABULAR PRICE LIST'!A:L,10,FALSE),0)</f>
        <v>0</v>
      </c>
      <c r="Z57" s="111">
        <f>VLOOKUP(C57,'TABULAR PRICE LIST'!$A:$L,12,FALSE)</f>
        <v>4324</v>
      </c>
      <c r="AA57" s="111">
        <f>Table14[[#This Row],[Coil Size]]*Table14[[#This Row],[D10]]/1000</f>
        <v>0</v>
      </c>
      <c r="AB57" s="111">
        <f>Table14[[#This Row],[Weight/KYD]]*Table14[[#This Row],[D10]]</f>
        <v>0</v>
      </c>
      <c r="AC57" s="177"/>
      <c r="AD57" s="111">
        <v>50</v>
      </c>
    </row>
    <row r="58" spans="1:30" s="196" customFormat="1" ht="18.5" x14ac:dyDescent="0.45">
      <c r="A58" s="189" t="s">
        <v>30</v>
      </c>
      <c r="B58" s="18">
        <f t="shared" si="1"/>
        <v>49</v>
      </c>
      <c r="C58" s="19" t="s">
        <v>137</v>
      </c>
      <c r="D58" s="19" t="s">
        <v>15</v>
      </c>
      <c r="E58" s="19" t="s">
        <v>16</v>
      </c>
      <c r="F58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"),AD58,Table14[[#This Row],[Cod No]])</f>
        <v>100</v>
      </c>
      <c r="G58" s="20" t="s">
        <v>129</v>
      </c>
      <c r="H58" s="20" t="s">
        <v>138</v>
      </c>
      <c r="I58" s="20"/>
      <c r="J58" s="193">
        <f>Table1[[#This Row],[B]]</f>
        <v>0</v>
      </c>
      <c r="K58" s="44">
        <f>Table1[[#This Row],[BE]]</f>
        <v>0</v>
      </c>
      <c r="L58" s="44">
        <f>Table1[[#This Row],[G]]</f>
        <v>0</v>
      </c>
      <c r="M58" s="44">
        <f>Table1[[#This Row],[J]]</f>
        <v>0</v>
      </c>
      <c r="N58" s="193">
        <f>Table1[[#This Row],[N]]</f>
        <v>0</v>
      </c>
      <c r="O58" s="44">
        <f>Table1[[#This Row],[R]]</f>
        <v>0</v>
      </c>
      <c r="P58" s="44">
        <f>Table1[[#This Row],[V]]</f>
        <v>0</v>
      </c>
      <c r="Q58" s="44">
        <f>Table1[[#This Row],[VJ]]</f>
        <v>0</v>
      </c>
      <c r="R58" s="44">
        <f>Table1[[#This Row],[RN]]</f>
        <v>0</v>
      </c>
      <c r="S58" s="44">
        <f>Table1[[#This Row],[Blank]]</f>
        <v>0</v>
      </c>
      <c r="T58" s="45">
        <f>SUM(Table14[[#This Row],[B]:[Blank]])</f>
        <v>0</v>
      </c>
      <c r="U58" s="116">
        <v>8.4269999999999996</v>
      </c>
      <c r="V58" s="118">
        <f t="shared" si="0"/>
        <v>0</v>
      </c>
      <c r="W58" s="111">
        <v>5.4779999999999998</v>
      </c>
      <c r="X58" s="111">
        <f>Table14[[#This Row],[Coil Size]]*Table14[[#This Row],[D10]]/1000*VLOOKUP(Table14[[#This Row],[Navision Code]],'TABULAR PRICE LIST'!A:L,11,FALSE)</f>
        <v>0</v>
      </c>
      <c r="Y58" s="111">
        <f>IFERROR(Table14[[#This Row],[Coil Size]]*Table14[[#This Row],[D10]]/1000*VLOOKUP(Table14[[#This Row],[Navision Code]],'TABULAR PRICE LIST'!A:L,10,FALSE),0)</f>
        <v>0</v>
      </c>
      <c r="Z58" s="111">
        <f>VLOOKUP(C58,'TABULAR PRICE LIST'!$A:$L,12,FALSE)</f>
        <v>989</v>
      </c>
      <c r="AA58" s="111">
        <f>Table14[[#This Row],[Coil Size]]*Table14[[#This Row],[D10]]/1000</f>
        <v>0</v>
      </c>
      <c r="AB58" s="111">
        <f>Table14[[#This Row],[Weight/KYD]]*Table14[[#This Row],[D10]]</f>
        <v>0</v>
      </c>
      <c r="AC58" s="177"/>
      <c r="AD58" s="111">
        <v>100</v>
      </c>
    </row>
    <row r="59" spans="1:30" s="196" customFormat="1" ht="18.5" x14ac:dyDescent="0.45">
      <c r="A59" s="189" t="s">
        <v>30</v>
      </c>
      <c r="B59" s="18">
        <f t="shared" si="1"/>
        <v>50</v>
      </c>
      <c r="C59" s="19" t="s">
        <v>139</v>
      </c>
      <c r="D59" s="19" t="s">
        <v>15</v>
      </c>
      <c r="E59" s="19" t="s">
        <v>16</v>
      </c>
      <c r="F59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"),AD59,Table14[[#This Row],[Cod No]])</f>
        <v>100</v>
      </c>
      <c r="G59" s="20" t="s">
        <v>129</v>
      </c>
      <c r="H59" s="20" t="s">
        <v>140</v>
      </c>
      <c r="I59" s="20"/>
      <c r="J59" s="193">
        <f>Table1[[#This Row],[B]]</f>
        <v>0</v>
      </c>
      <c r="K59" s="44">
        <f>Table1[[#This Row],[BE]]</f>
        <v>0</v>
      </c>
      <c r="L59" s="44">
        <f>Table1[[#This Row],[G]]</f>
        <v>0</v>
      </c>
      <c r="M59" s="44">
        <f>Table1[[#This Row],[J]]</f>
        <v>0</v>
      </c>
      <c r="N59" s="193">
        <f>Table1[[#This Row],[N]]</f>
        <v>0</v>
      </c>
      <c r="O59" s="44">
        <f>Table1[[#This Row],[R]]</f>
        <v>0</v>
      </c>
      <c r="P59" s="44">
        <f>Table1[[#This Row],[V]]</f>
        <v>0</v>
      </c>
      <c r="Q59" s="44">
        <f>Table1[[#This Row],[VJ]]</f>
        <v>0</v>
      </c>
      <c r="R59" s="44">
        <f>Table1[[#This Row],[RN]]</f>
        <v>0</v>
      </c>
      <c r="S59" s="44">
        <f>Table1[[#This Row],[Blank]]</f>
        <v>0</v>
      </c>
      <c r="T59" s="45">
        <f>SUM(Table14[[#This Row],[B]:[Blank]])</f>
        <v>0</v>
      </c>
      <c r="U59" s="116">
        <v>12.725</v>
      </c>
      <c r="V59" s="118">
        <f t="shared" si="0"/>
        <v>0</v>
      </c>
      <c r="W59" s="111">
        <v>8.8569999999999993</v>
      </c>
      <c r="X59" s="111">
        <f>Table14[[#This Row],[Coil Size]]*Table14[[#This Row],[D10]]/1000*VLOOKUP(Table14[[#This Row],[Navision Code]],'TABULAR PRICE LIST'!A:L,11,FALSE)</f>
        <v>0</v>
      </c>
      <c r="Y59" s="111">
        <f>IFERROR(Table14[[#This Row],[Coil Size]]*Table14[[#This Row],[D10]]/1000*VLOOKUP(Table14[[#This Row],[Navision Code]],'TABULAR PRICE LIST'!A:L,10,FALSE),0)</f>
        <v>0</v>
      </c>
      <c r="Z59" s="111">
        <f>VLOOKUP(C59,'TABULAR PRICE LIST'!$A:$L,12,FALSE)</f>
        <v>1509</v>
      </c>
      <c r="AA59" s="111">
        <f>Table14[[#This Row],[Coil Size]]*Table14[[#This Row],[D10]]/1000</f>
        <v>0</v>
      </c>
      <c r="AB59" s="111">
        <f>Table14[[#This Row],[Weight/KYD]]*Table14[[#This Row],[D10]]</f>
        <v>0</v>
      </c>
      <c r="AC59" s="177"/>
      <c r="AD59" s="111">
        <v>100</v>
      </c>
    </row>
    <row r="60" spans="1:30" s="196" customFormat="1" ht="18.5" x14ac:dyDescent="0.45">
      <c r="A60" s="189" t="s">
        <v>30</v>
      </c>
      <c r="B60" s="18">
        <f t="shared" si="1"/>
        <v>51</v>
      </c>
      <c r="C60" s="19" t="s">
        <v>141</v>
      </c>
      <c r="D60" s="19" t="s">
        <v>15</v>
      </c>
      <c r="E60" s="19" t="s">
        <v>16</v>
      </c>
      <c r="F60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"),AD60,Table14[[#This Row],[Cod No]])</f>
        <v>100</v>
      </c>
      <c r="G60" s="20" t="s">
        <v>129</v>
      </c>
      <c r="H60" s="20" t="s">
        <v>142</v>
      </c>
      <c r="I60" s="20"/>
      <c r="J60" s="193">
        <f>Table1[[#This Row],[B]]</f>
        <v>0</v>
      </c>
      <c r="K60" s="44">
        <f>Table1[[#This Row],[BE]]</f>
        <v>0</v>
      </c>
      <c r="L60" s="44">
        <f>Table1[[#This Row],[G]]</f>
        <v>0</v>
      </c>
      <c r="M60" s="44">
        <f>Table1[[#This Row],[J]]</f>
        <v>0</v>
      </c>
      <c r="N60" s="193">
        <f>Table1[[#This Row],[N]]</f>
        <v>0</v>
      </c>
      <c r="O60" s="44">
        <f>Table1[[#This Row],[R]]</f>
        <v>0</v>
      </c>
      <c r="P60" s="44">
        <f>Table1[[#This Row],[V]]</f>
        <v>0</v>
      </c>
      <c r="Q60" s="44">
        <f>Table1[[#This Row],[VJ]]</f>
        <v>0</v>
      </c>
      <c r="R60" s="44">
        <f>Table1[[#This Row],[RN]]</f>
        <v>0</v>
      </c>
      <c r="S60" s="44">
        <f>Table1[[#This Row],[Blank]]</f>
        <v>0</v>
      </c>
      <c r="T60" s="45">
        <f>SUM(Table14[[#This Row],[B]:[Blank]])</f>
        <v>0</v>
      </c>
      <c r="U60" s="116">
        <v>18.87</v>
      </c>
      <c r="V60" s="118">
        <f t="shared" si="0"/>
        <v>0</v>
      </c>
      <c r="W60" s="111">
        <v>13.069999999999999</v>
      </c>
      <c r="X60" s="111">
        <f>Table14[[#This Row],[Coil Size]]*Table14[[#This Row],[D10]]/1000*VLOOKUP(Table14[[#This Row],[Navision Code]],'TABULAR PRICE LIST'!A:L,11,FALSE)</f>
        <v>0</v>
      </c>
      <c r="Y60" s="111">
        <f>IFERROR(Table14[[#This Row],[Coil Size]]*Table14[[#This Row],[D10]]/1000*VLOOKUP(Table14[[#This Row],[Navision Code]],'TABULAR PRICE LIST'!A:L,10,FALSE),0)</f>
        <v>0</v>
      </c>
      <c r="Z60" s="111">
        <f>VLOOKUP(C60,'TABULAR PRICE LIST'!$A:$L,12,FALSE)</f>
        <v>2387</v>
      </c>
      <c r="AA60" s="111">
        <f>Table14[[#This Row],[Coil Size]]*Table14[[#This Row],[D10]]/1000</f>
        <v>0</v>
      </c>
      <c r="AB60" s="111">
        <f>Table14[[#This Row],[Weight/KYD]]*Table14[[#This Row],[D10]]</f>
        <v>0</v>
      </c>
      <c r="AC60" s="177"/>
      <c r="AD60" s="111">
        <v>100</v>
      </c>
    </row>
    <row r="61" spans="1:30" s="196" customFormat="1" ht="18.5" x14ac:dyDescent="0.45">
      <c r="A61" s="189" t="s">
        <v>30</v>
      </c>
      <c r="B61" s="18">
        <f t="shared" si="1"/>
        <v>52</v>
      </c>
      <c r="C61" s="19" t="s">
        <v>143</v>
      </c>
      <c r="D61" s="19" t="s">
        <v>15</v>
      </c>
      <c r="E61" s="19" t="s">
        <v>16</v>
      </c>
      <c r="F61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"),AD61,Table14[[#This Row],[Cod No]])</f>
        <v>100</v>
      </c>
      <c r="G61" s="20" t="s">
        <v>129</v>
      </c>
      <c r="H61" s="20" t="s">
        <v>144</v>
      </c>
      <c r="I61" s="20"/>
      <c r="J61" s="193">
        <f>Table1[[#This Row],[B]]</f>
        <v>0</v>
      </c>
      <c r="K61" s="44">
        <f>Table1[[#This Row],[BE]]</f>
        <v>0</v>
      </c>
      <c r="L61" s="44">
        <f>Table1[[#This Row],[G]]</f>
        <v>0</v>
      </c>
      <c r="M61" s="44">
        <f>Table1[[#This Row],[J]]</f>
        <v>0</v>
      </c>
      <c r="N61" s="193">
        <f>Table1[[#This Row],[N]]</f>
        <v>0</v>
      </c>
      <c r="O61" s="44">
        <f>Table1[[#This Row],[R]]</f>
        <v>0</v>
      </c>
      <c r="P61" s="44">
        <f>Table1[[#This Row],[V]]</f>
        <v>0</v>
      </c>
      <c r="Q61" s="44">
        <f>Table1[[#This Row],[VJ]]</f>
        <v>0</v>
      </c>
      <c r="R61" s="44">
        <f>Table1[[#This Row],[RN]]</f>
        <v>0</v>
      </c>
      <c r="S61" s="44">
        <f>Table1[[#This Row],[Blank]]</f>
        <v>0</v>
      </c>
      <c r="T61" s="45">
        <f>SUM(Table14[[#This Row],[B]:[Blank]])</f>
        <v>0</v>
      </c>
      <c r="U61" s="116">
        <v>26.45</v>
      </c>
      <c r="V61" s="118">
        <f t="shared" si="0"/>
        <v>0</v>
      </c>
      <c r="W61" s="111">
        <v>11.425000000000001</v>
      </c>
      <c r="X61" s="111">
        <f>Table14[[#This Row],[Coil Size]]*Table14[[#This Row],[D10]]/1000*VLOOKUP(Table14[[#This Row],[Navision Code]],'TABULAR PRICE LIST'!A:L,11,FALSE)</f>
        <v>0</v>
      </c>
      <c r="Y61" s="111">
        <f>IFERROR(Table14[[#This Row],[Coil Size]]*Table14[[#This Row],[D10]]/1000*VLOOKUP(Table14[[#This Row],[Navision Code]],'TABULAR PRICE LIST'!A:L,10,FALSE),0)</f>
        <v>0</v>
      </c>
      <c r="Z61" s="111">
        <f>VLOOKUP(C61,'TABULAR PRICE LIST'!$A:$L,12,FALSE)</f>
        <v>3586</v>
      </c>
      <c r="AA61" s="111">
        <f>Table14[[#This Row],[Coil Size]]*Table14[[#This Row],[D10]]/1000</f>
        <v>0</v>
      </c>
      <c r="AB61" s="111">
        <f>Table14[[#This Row],[Weight/KYD]]*Table14[[#This Row],[D10]]</f>
        <v>0</v>
      </c>
      <c r="AC61" s="177"/>
      <c r="AD61" s="111">
        <v>100</v>
      </c>
    </row>
    <row r="62" spans="1:30" s="196" customFormat="1" ht="18.5" x14ac:dyDescent="0.45">
      <c r="A62" s="189" t="s">
        <v>30</v>
      </c>
      <c r="B62" s="18">
        <f t="shared" si="1"/>
        <v>53</v>
      </c>
      <c r="C62" s="19" t="s">
        <v>145</v>
      </c>
      <c r="D62" s="19" t="s">
        <v>15</v>
      </c>
      <c r="E62" s="19" t="s">
        <v>16</v>
      </c>
      <c r="F62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"),AD62,Table14[[#This Row],[Cod No]])</f>
        <v>50</v>
      </c>
      <c r="G62" s="20" t="s">
        <v>129</v>
      </c>
      <c r="H62" s="20" t="s">
        <v>146</v>
      </c>
      <c r="I62" s="20">
        <v>50</v>
      </c>
      <c r="J62" s="193">
        <f>Table1[[#This Row],[B]]</f>
        <v>0</v>
      </c>
      <c r="K62" s="44">
        <f>Table1[[#This Row],[BE]]</f>
        <v>0</v>
      </c>
      <c r="L62" s="44">
        <f>Table1[[#This Row],[G]]</f>
        <v>0</v>
      </c>
      <c r="M62" s="44">
        <f>Table1[[#This Row],[J]]</f>
        <v>0</v>
      </c>
      <c r="N62" s="193">
        <f>Table1[[#This Row],[N]]</f>
        <v>0</v>
      </c>
      <c r="O62" s="44">
        <f>Table1[[#This Row],[R]]</f>
        <v>0</v>
      </c>
      <c r="P62" s="44">
        <f>Table1[[#This Row],[V]]</f>
        <v>0</v>
      </c>
      <c r="Q62" s="44">
        <f>Table1[[#This Row],[VJ]]</f>
        <v>0</v>
      </c>
      <c r="R62" s="44">
        <f>Table1[[#This Row],[RN]]</f>
        <v>0</v>
      </c>
      <c r="S62" s="44">
        <f>Table1[[#This Row],[Blank]]</f>
        <v>0</v>
      </c>
      <c r="T62" s="45">
        <f>SUM(Table14[[#This Row],[B]:[Blank]])</f>
        <v>0</v>
      </c>
      <c r="U62" s="116">
        <v>22.8</v>
      </c>
      <c r="V62" s="118">
        <f t="shared" si="0"/>
        <v>0</v>
      </c>
      <c r="W62" s="111">
        <v>4.383</v>
      </c>
      <c r="X62" s="111">
        <f>Table14[[#This Row],[Coil Size]]*Table14[[#This Row],[D10]]/1000*VLOOKUP(Table14[[#This Row],[Navision Code]],'TABULAR PRICE LIST'!A:L,11,FALSE)</f>
        <v>0</v>
      </c>
      <c r="Y62" s="111">
        <f>IFERROR(Table14[[#This Row],[Coil Size]]*Table14[[#This Row],[D10]]/1000*VLOOKUP(Table14[[#This Row],[Navision Code]],'TABULAR PRICE LIST'!A:L,10,FALSE),0)</f>
        <v>0</v>
      </c>
      <c r="Z62" s="111">
        <f>VLOOKUP(C62,'TABULAR PRICE LIST'!$A:$L,12,FALSE)</f>
        <v>6757</v>
      </c>
      <c r="AA62" s="111">
        <f>Table14[[#This Row],[Coil Size]]*Table14[[#This Row],[D10]]/1000</f>
        <v>0</v>
      </c>
      <c r="AB62" s="111">
        <f>Table14[[#This Row],[Weight/KYD]]*Table14[[#This Row],[D10]]</f>
        <v>0</v>
      </c>
      <c r="AC62" s="177"/>
      <c r="AD62" s="111">
        <v>50</v>
      </c>
    </row>
    <row r="63" spans="1:30" s="196" customFormat="1" ht="18.5" x14ac:dyDescent="0.45">
      <c r="A63" s="189" t="s">
        <v>30</v>
      </c>
      <c r="B63" s="18">
        <f t="shared" si="1"/>
        <v>54</v>
      </c>
      <c r="C63" s="19" t="s">
        <v>147</v>
      </c>
      <c r="D63" s="19" t="s">
        <v>15</v>
      </c>
      <c r="E63" s="19" t="s">
        <v>16</v>
      </c>
      <c r="F63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"),AD63,Table14[[#This Row],[Cod No]])</f>
        <v>100</v>
      </c>
      <c r="G63" s="20" t="s">
        <v>129</v>
      </c>
      <c r="H63" s="20" t="s">
        <v>148</v>
      </c>
      <c r="I63" s="20"/>
      <c r="J63" s="193">
        <f>Table1[[#This Row],[B]]</f>
        <v>0</v>
      </c>
      <c r="K63" s="44">
        <f>Table1[[#This Row],[BE]]</f>
        <v>0</v>
      </c>
      <c r="L63" s="44">
        <f>Table1[[#This Row],[G]]</f>
        <v>0</v>
      </c>
      <c r="M63" s="44">
        <f>Table1[[#This Row],[J]]</f>
        <v>0</v>
      </c>
      <c r="N63" s="193">
        <f>Table1[[#This Row],[N]]</f>
        <v>0</v>
      </c>
      <c r="O63" s="44">
        <f>Table1[[#This Row],[R]]</f>
        <v>0</v>
      </c>
      <c r="P63" s="44">
        <f>Table1[[#This Row],[V]]</f>
        <v>0</v>
      </c>
      <c r="Q63" s="44">
        <f>Table1[[#This Row],[VJ]]</f>
        <v>0</v>
      </c>
      <c r="R63" s="44">
        <f>Table1[[#This Row],[RN]]</f>
        <v>0</v>
      </c>
      <c r="S63" s="44">
        <f>Table1[[#This Row],[Blank]]</f>
        <v>0</v>
      </c>
      <c r="T63" s="45">
        <f>SUM(Table14[[#This Row],[B]:[Blank]])</f>
        <v>0</v>
      </c>
      <c r="U63" s="116">
        <v>10.59</v>
      </c>
      <c r="V63" s="118">
        <f t="shared" si="0"/>
        <v>0</v>
      </c>
      <c r="W63" s="111">
        <v>7.3040000000000012</v>
      </c>
      <c r="X63" s="111">
        <f>Table14[[#This Row],[Coil Size]]*Table14[[#This Row],[D10]]/1000*VLOOKUP(Table14[[#This Row],[Navision Code]],'TABULAR PRICE LIST'!A:L,11,FALSE)</f>
        <v>0</v>
      </c>
      <c r="Y63" s="111">
        <f>IFERROR(Table14[[#This Row],[Coil Size]]*Table14[[#This Row],[D10]]/1000*VLOOKUP(Table14[[#This Row],[Navision Code]],'TABULAR PRICE LIST'!A:L,10,FALSE),0)</f>
        <v>0</v>
      </c>
      <c r="Z63" s="111">
        <f>VLOOKUP(C63,'TABULAR PRICE LIST'!$A:$L,12,FALSE)</f>
        <v>1311</v>
      </c>
      <c r="AA63" s="111">
        <f>Table14[[#This Row],[Coil Size]]*Table14[[#This Row],[D10]]/1000</f>
        <v>0</v>
      </c>
      <c r="AB63" s="111">
        <f>Table14[[#This Row],[Weight/KYD]]*Table14[[#This Row],[D10]]</f>
        <v>0</v>
      </c>
      <c r="AC63" s="177"/>
      <c r="AD63" s="111">
        <v>100</v>
      </c>
    </row>
    <row r="64" spans="1:30" s="196" customFormat="1" ht="18.5" x14ac:dyDescent="0.45">
      <c r="A64" s="189" t="s">
        <v>30</v>
      </c>
      <c r="B64" s="18">
        <f t="shared" si="1"/>
        <v>55</v>
      </c>
      <c r="C64" s="19" t="s">
        <v>149</v>
      </c>
      <c r="D64" s="19" t="s">
        <v>15</v>
      </c>
      <c r="E64" s="19" t="s">
        <v>16</v>
      </c>
      <c r="F64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"),AD64,Table14[[#This Row],[Cod No]])</f>
        <v>100</v>
      </c>
      <c r="G64" s="20" t="s">
        <v>129</v>
      </c>
      <c r="H64" s="20" t="s">
        <v>150</v>
      </c>
      <c r="I64" s="20"/>
      <c r="J64" s="193">
        <f>Table1[[#This Row],[B]]</f>
        <v>0</v>
      </c>
      <c r="K64" s="44">
        <f>Table1[[#This Row],[BE]]</f>
        <v>0</v>
      </c>
      <c r="L64" s="44">
        <f>Table1[[#This Row],[G]]</f>
        <v>0</v>
      </c>
      <c r="M64" s="44">
        <f>Table1[[#This Row],[J]]</f>
        <v>0</v>
      </c>
      <c r="N64" s="193">
        <f>Table1[[#This Row],[N]]</f>
        <v>0</v>
      </c>
      <c r="O64" s="44">
        <f>Table1[[#This Row],[R]]</f>
        <v>0</v>
      </c>
      <c r="P64" s="44">
        <f>Table1[[#This Row],[V]]</f>
        <v>0</v>
      </c>
      <c r="Q64" s="44">
        <f>Table1[[#This Row],[VJ]]</f>
        <v>0</v>
      </c>
      <c r="R64" s="44">
        <f>Table1[[#This Row],[RN]]</f>
        <v>0</v>
      </c>
      <c r="S64" s="44">
        <f>Table1[[#This Row],[Blank]]</f>
        <v>0</v>
      </c>
      <c r="T64" s="45">
        <f>SUM(Table14[[#This Row],[B]:[Blank]])</f>
        <v>0</v>
      </c>
      <c r="U64" s="116">
        <v>16.899999999999999</v>
      </c>
      <c r="V64" s="118">
        <f t="shared" si="0"/>
        <v>0</v>
      </c>
      <c r="W64" s="111">
        <v>11.808999999999999</v>
      </c>
      <c r="X64" s="111">
        <f>Table14[[#This Row],[Coil Size]]*Table14[[#This Row],[D10]]/1000*VLOOKUP(Table14[[#This Row],[Navision Code]],'TABULAR PRICE LIST'!A:L,11,FALSE)</f>
        <v>0</v>
      </c>
      <c r="Y64" s="111">
        <f>IFERROR(Table14[[#This Row],[Coil Size]]*Table14[[#This Row],[D10]]/1000*VLOOKUP(Table14[[#This Row],[Navision Code]],'TABULAR PRICE LIST'!A:L,10,FALSE),0)</f>
        <v>0</v>
      </c>
      <c r="Z64" s="111">
        <f>VLOOKUP(C64,'TABULAR PRICE LIST'!$A:$L,12,FALSE)</f>
        <v>2033</v>
      </c>
      <c r="AA64" s="111">
        <f>Table14[[#This Row],[Coil Size]]*Table14[[#This Row],[D10]]/1000</f>
        <v>0</v>
      </c>
      <c r="AB64" s="111">
        <f>Table14[[#This Row],[Weight/KYD]]*Table14[[#This Row],[D10]]</f>
        <v>0</v>
      </c>
      <c r="AC64" s="177"/>
      <c r="AD64" s="111">
        <v>100</v>
      </c>
    </row>
    <row r="65" spans="1:30" s="196" customFormat="1" ht="18.5" x14ac:dyDescent="0.45">
      <c r="A65" s="189" t="s">
        <v>30</v>
      </c>
      <c r="B65" s="18">
        <f t="shared" si="1"/>
        <v>56</v>
      </c>
      <c r="C65" s="19" t="s">
        <v>151</v>
      </c>
      <c r="D65" s="19" t="s">
        <v>15</v>
      </c>
      <c r="E65" s="19" t="s">
        <v>16</v>
      </c>
      <c r="F65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"),AD65,Table14[[#This Row],[Cod No]])</f>
        <v>100</v>
      </c>
      <c r="G65" s="20" t="s">
        <v>129</v>
      </c>
      <c r="H65" s="20" t="s">
        <v>152</v>
      </c>
      <c r="I65" s="20"/>
      <c r="J65" s="193">
        <f>Table1[[#This Row],[B]]</f>
        <v>0</v>
      </c>
      <c r="K65" s="44">
        <f>Table1[[#This Row],[BE]]</f>
        <v>0</v>
      </c>
      <c r="L65" s="44">
        <f>Table1[[#This Row],[G]]</f>
        <v>0</v>
      </c>
      <c r="M65" s="44">
        <f>Table1[[#This Row],[J]]</f>
        <v>0</v>
      </c>
      <c r="N65" s="193">
        <f>Table1[[#This Row],[N]]</f>
        <v>0</v>
      </c>
      <c r="O65" s="44">
        <f>Table1[[#This Row],[R]]</f>
        <v>0</v>
      </c>
      <c r="P65" s="44">
        <f>Table1[[#This Row],[V]]</f>
        <v>0</v>
      </c>
      <c r="Q65" s="44">
        <f>Table1[[#This Row],[VJ]]</f>
        <v>0</v>
      </c>
      <c r="R65" s="44">
        <f>Table1[[#This Row],[RN]]</f>
        <v>0</v>
      </c>
      <c r="S65" s="44">
        <f>Table1[[#This Row],[Blank]]</f>
        <v>0</v>
      </c>
      <c r="T65" s="45">
        <f>SUM(Table14[[#This Row],[B]:[Blank]])</f>
        <v>0</v>
      </c>
      <c r="U65" s="116">
        <v>25.2</v>
      </c>
      <c r="V65" s="118">
        <f t="shared" si="0"/>
        <v>0</v>
      </c>
      <c r="W65" s="111">
        <v>8.7149999999999999</v>
      </c>
      <c r="X65" s="111">
        <f>Table14[[#This Row],[Coil Size]]*Table14[[#This Row],[D10]]/1000*VLOOKUP(Table14[[#This Row],[Navision Code]],'TABULAR PRICE LIST'!A:L,11,FALSE)</f>
        <v>0</v>
      </c>
      <c r="Y65" s="111">
        <f>IFERROR(Table14[[#This Row],[Coil Size]]*Table14[[#This Row],[D10]]/1000*VLOOKUP(Table14[[#This Row],[Navision Code]],'TABULAR PRICE LIST'!A:L,10,FALSE),0)</f>
        <v>0</v>
      </c>
      <c r="Z65" s="111">
        <f>VLOOKUP(C65,'TABULAR PRICE LIST'!$A:$L,12,FALSE)</f>
        <v>3082</v>
      </c>
      <c r="AA65" s="111">
        <f>Table14[[#This Row],[Coil Size]]*Table14[[#This Row],[D10]]/1000</f>
        <v>0</v>
      </c>
      <c r="AB65" s="111">
        <f>Table14[[#This Row],[Weight/KYD]]*Table14[[#This Row],[D10]]</f>
        <v>0</v>
      </c>
      <c r="AC65" s="177"/>
      <c r="AD65" s="111">
        <v>100</v>
      </c>
    </row>
    <row r="66" spans="1:30" s="196" customFormat="1" ht="18.5" x14ac:dyDescent="0.45">
      <c r="A66" s="189" t="s">
        <v>30</v>
      </c>
      <c r="B66" s="18">
        <f t="shared" si="1"/>
        <v>57</v>
      </c>
      <c r="C66" s="19" t="s">
        <v>361</v>
      </c>
      <c r="D66" s="19" t="s">
        <v>15</v>
      </c>
      <c r="E66" s="19" t="s">
        <v>16</v>
      </c>
      <c r="F66" s="19">
        <v>100</v>
      </c>
      <c r="G66" s="20" t="s">
        <v>129</v>
      </c>
      <c r="H66" s="20" t="s">
        <v>153</v>
      </c>
      <c r="I66" s="20"/>
      <c r="J66" s="193">
        <f>Table1[[#This Row],[B]]</f>
        <v>0</v>
      </c>
      <c r="K66" s="44">
        <f>Table1[[#This Row],[BE]]</f>
        <v>0</v>
      </c>
      <c r="L66" s="44">
        <f>Table1[[#This Row],[G]]</f>
        <v>0</v>
      </c>
      <c r="M66" s="44">
        <f>Table1[[#This Row],[J]]</f>
        <v>0</v>
      </c>
      <c r="N66" s="193">
        <f>Table1[[#This Row],[N]]</f>
        <v>0</v>
      </c>
      <c r="O66" s="44">
        <f>Table1[[#This Row],[R]]</f>
        <v>0</v>
      </c>
      <c r="P66" s="44">
        <f>Table1[[#This Row],[V]]</f>
        <v>0</v>
      </c>
      <c r="Q66" s="44">
        <f>Table1[[#This Row],[VJ]]</f>
        <v>0</v>
      </c>
      <c r="R66" s="44">
        <f>Table1[[#This Row],[RN]]</f>
        <v>0</v>
      </c>
      <c r="S66" s="44">
        <f>Table1[[#This Row],[Blank]]</f>
        <v>0</v>
      </c>
      <c r="T66" s="45">
        <f>SUM(Table14[[#This Row],[B]:[Blank]])</f>
        <v>0</v>
      </c>
      <c r="U66" s="116">
        <v>34.299999999999997</v>
      </c>
      <c r="V66" s="118">
        <f t="shared" si="0"/>
        <v>0</v>
      </c>
      <c r="W66" s="111">
        <v>15.231999999999999</v>
      </c>
      <c r="X66" s="111">
        <f>Table14[[#This Row],[Coil Size]]*Table14[[#This Row],[D10]]/1000*VLOOKUP(Table14[[#This Row],[Navision Code]],'TABULAR PRICE LIST'!A:L,11,FALSE)</f>
        <v>0</v>
      </c>
      <c r="Y66" s="111">
        <f>IFERROR(Table14[[#This Row],[Coil Size]]*Table14[[#This Row],[D10]]/1000*VLOOKUP(Table14[[#This Row],[Navision Code]],'TABULAR PRICE LIST'!A:L,10,FALSE),0)</f>
        <v>0</v>
      </c>
      <c r="Z66" s="111">
        <f>VLOOKUP(C66,'TABULAR PRICE LIST'!$A:$L,12,FALSE)</f>
        <v>4482</v>
      </c>
      <c r="AA66" s="111">
        <f>Table14[[#This Row],[Coil Size]]*Table14[[#This Row],[D10]]/1000</f>
        <v>0</v>
      </c>
      <c r="AB66" s="111">
        <f>Table14[[#This Row],[Weight/KYD]]*Table14[[#This Row],[D10]]</f>
        <v>0</v>
      </c>
      <c r="AC66" s="177"/>
      <c r="AD66" s="111">
        <v>100</v>
      </c>
    </row>
    <row r="67" spans="1:30" s="196" customFormat="1" ht="18.5" x14ac:dyDescent="0.45">
      <c r="A67" s="189" t="s">
        <v>30</v>
      </c>
      <c r="B67" s="26">
        <f t="shared" si="1"/>
        <v>58</v>
      </c>
      <c r="C67" s="27" t="s">
        <v>154</v>
      </c>
      <c r="D67" s="27" t="s">
        <v>15</v>
      </c>
      <c r="E67" s="27" t="s">
        <v>16</v>
      </c>
      <c r="F67" s="27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"),AD67,Table14[[#This Row],[Cod No]])</f>
        <v>50</v>
      </c>
      <c r="G67" s="28" t="s">
        <v>129</v>
      </c>
      <c r="H67" s="28" t="s">
        <v>155</v>
      </c>
      <c r="I67" s="28">
        <v>50</v>
      </c>
      <c r="J67" s="48">
        <f>Table1[[#This Row],[B]]</f>
        <v>0</v>
      </c>
      <c r="K67" s="48">
        <f>Table1[[#This Row],[BE]]</f>
        <v>0</v>
      </c>
      <c r="L67" s="48">
        <f>Table1[[#This Row],[G]]</f>
        <v>0</v>
      </c>
      <c r="M67" s="48">
        <f>Table1[[#This Row],[J]]</f>
        <v>0</v>
      </c>
      <c r="N67" s="197">
        <f>Table1[[#This Row],[N]]</f>
        <v>0</v>
      </c>
      <c r="O67" s="48">
        <f>Table1[[#This Row],[R]]</f>
        <v>0</v>
      </c>
      <c r="P67" s="48">
        <f>Table1[[#This Row],[V]]</f>
        <v>0</v>
      </c>
      <c r="Q67" s="48">
        <f>Table1[[#This Row],[VJ]]</f>
        <v>0</v>
      </c>
      <c r="R67" s="48">
        <f>Table1[[#This Row],[RN]]</f>
        <v>0</v>
      </c>
      <c r="S67" s="48">
        <f>Table1[[#This Row],[Blank]]</f>
        <v>0</v>
      </c>
      <c r="T67" s="49">
        <f>SUM(Table14[[#This Row],[B]:[Blank]])</f>
        <v>0</v>
      </c>
      <c r="U67" s="122">
        <v>29.85</v>
      </c>
      <c r="V67" s="123">
        <f t="shared" si="0"/>
        <v>0</v>
      </c>
      <c r="W67" s="111">
        <v>0.2616</v>
      </c>
      <c r="X67" s="111">
        <f>Table14[[#This Row],[Coil Size]]*Table14[[#This Row],[D10]]/1000*VLOOKUP(Table14[[#This Row],[Navision Code]],'TABULAR PRICE LIST'!A:L,11,FALSE)</f>
        <v>0</v>
      </c>
      <c r="Y67" s="111">
        <f>IFERROR(Table14[[#This Row],[Coil Size]]*Table14[[#This Row],[D10]]/1000*VLOOKUP(Table14[[#This Row],[Navision Code]],'TABULAR PRICE LIST'!A:L,10,FALSE),0)</f>
        <v>0</v>
      </c>
      <c r="Z67" s="111">
        <f>VLOOKUP(C67,'TABULAR PRICE LIST'!$A:$L,12,FALSE)</f>
        <v>7822</v>
      </c>
      <c r="AA67" s="111">
        <f>Table14[[#This Row],[Coil Size]]*Table14[[#This Row],[D10]]/1000</f>
        <v>0</v>
      </c>
      <c r="AB67" s="111">
        <f>Table14[[#This Row],[Weight/KYD]]*Table14[[#This Row],[D10]]</f>
        <v>0</v>
      </c>
      <c r="AC67" s="177"/>
      <c r="AD67" s="111">
        <v>50</v>
      </c>
    </row>
    <row r="68" spans="1:30" s="196" customFormat="1" ht="18.5" x14ac:dyDescent="0.45">
      <c r="A68" s="189" t="s">
        <v>30</v>
      </c>
      <c r="B68" s="18">
        <f t="shared" si="1"/>
        <v>59</v>
      </c>
      <c r="C68" s="19" t="s">
        <v>458</v>
      </c>
      <c r="D68" s="19" t="s">
        <v>15</v>
      </c>
      <c r="E68" s="19" t="s">
        <v>16</v>
      </c>
      <c r="F68" s="19">
        <v>100</v>
      </c>
      <c r="G68" s="22" t="s">
        <v>129</v>
      </c>
      <c r="H68" s="22" t="s">
        <v>474</v>
      </c>
      <c r="I68" s="20"/>
      <c r="J68" s="48">
        <f>Table1[[#This Row],[B]]</f>
        <v>0</v>
      </c>
      <c r="K68" s="48">
        <f>Table1[[#This Row],[BE]]</f>
        <v>0</v>
      </c>
      <c r="L68" s="48">
        <f>Table1[[#This Row],[G]]</f>
        <v>0</v>
      </c>
      <c r="M68" s="48">
        <f>Table1[[#This Row],[J]]</f>
        <v>0</v>
      </c>
      <c r="N68" s="197">
        <f>Table1[[#This Row],[N]]</f>
        <v>0</v>
      </c>
      <c r="O68" s="48">
        <f>Table1[[#This Row],[R]]</f>
        <v>0</v>
      </c>
      <c r="P68" s="48">
        <f>Table1[[#This Row],[V]]</f>
        <v>0</v>
      </c>
      <c r="Q68" s="48">
        <f>Table1[[#This Row],[VJ]]</f>
        <v>0</v>
      </c>
      <c r="R68" s="48">
        <f>Table1[[#This Row],[RN]]</f>
        <v>0</v>
      </c>
      <c r="S68" s="48">
        <f>Table1[[#This Row],[Blank]]</f>
        <v>0</v>
      </c>
      <c r="T68" s="49">
        <f>SUM(Table14[[#This Row],[B]:[Blank]])</f>
        <v>0</v>
      </c>
      <c r="U68" s="122">
        <v>6.84</v>
      </c>
      <c r="V68" s="123">
        <f t="shared" si="0"/>
        <v>0</v>
      </c>
      <c r="W68" s="111"/>
      <c r="X68" s="111">
        <f>Table14[[#This Row],[Coil Size]]*Table14[[#This Row],[D10]]/1000*VLOOKUP(Table14[[#This Row],[Navision Code]],'TABULAR PRICE LIST'!A:L,11,FALSE)</f>
        <v>0</v>
      </c>
      <c r="Y68" s="111">
        <f>IFERROR(Table14[[#This Row],[Coil Size]]*Table14[[#This Row],[D10]]/1000*VLOOKUP(Table14[[#This Row],[Navision Code]],'TABULAR PRICE LIST'!A:L,10,FALSE),0)</f>
        <v>0</v>
      </c>
      <c r="Z68" s="111">
        <f>VLOOKUP(C68,'TABULAR PRICE LIST'!$A:$L,12,FALSE)</f>
        <v>742</v>
      </c>
      <c r="AA68" s="111">
        <f>Table14[[#This Row],[Coil Size]]*Table14[[#This Row],[D10]]/1000</f>
        <v>0</v>
      </c>
      <c r="AB68" s="111">
        <f>Table14[[#This Row],[Weight/KYD]]*Table14[[#This Row],[D10]]</f>
        <v>0</v>
      </c>
      <c r="AC68" s="177"/>
      <c r="AD68" s="111">
        <v>100</v>
      </c>
    </row>
    <row r="69" spans="1:30" s="196" customFormat="1" ht="18.5" x14ac:dyDescent="0.45">
      <c r="A69" s="189" t="s">
        <v>30</v>
      </c>
      <c r="B69" s="26">
        <f t="shared" si="1"/>
        <v>60</v>
      </c>
      <c r="C69" s="27" t="s">
        <v>459</v>
      </c>
      <c r="D69" s="27" t="s">
        <v>15</v>
      </c>
      <c r="E69" s="27" t="s">
        <v>16</v>
      </c>
      <c r="F69" s="27">
        <v>100</v>
      </c>
      <c r="G69" s="22" t="s">
        <v>129</v>
      </c>
      <c r="H69" s="22" t="s">
        <v>475</v>
      </c>
      <c r="I69" s="20"/>
      <c r="J69" s="48">
        <f>Table1[[#This Row],[B]]</f>
        <v>0</v>
      </c>
      <c r="K69" s="48">
        <f>Table1[[#This Row],[BE]]</f>
        <v>0</v>
      </c>
      <c r="L69" s="48">
        <f>Table1[[#This Row],[G]]</f>
        <v>0</v>
      </c>
      <c r="M69" s="48">
        <f>Table1[[#This Row],[J]]</f>
        <v>0</v>
      </c>
      <c r="N69" s="197">
        <f>Table1[[#This Row],[N]]</f>
        <v>0</v>
      </c>
      <c r="O69" s="48">
        <f>Table1[[#This Row],[R]]</f>
        <v>0</v>
      </c>
      <c r="P69" s="48">
        <f>Table1[[#This Row],[V]]</f>
        <v>0</v>
      </c>
      <c r="Q69" s="48">
        <f>Table1[[#This Row],[VJ]]</f>
        <v>0</v>
      </c>
      <c r="R69" s="48">
        <f>Table1[[#This Row],[RN]]</f>
        <v>0</v>
      </c>
      <c r="S69" s="48">
        <f>Table1[[#This Row],[Blank]]</f>
        <v>0</v>
      </c>
      <c r="T69" s="49">
        <f>SUM(Table14[[#This Row],[B]:[Blank]])</f>
        <v>0</v>
      </c>
      <c r="U69" s="122">
        <v>8.4269999999999996</v>
      </c>
      <c r="V69" s="123">
        <f t="shared" si="0"/>
        <v>0</v>
      </c>
      <c r="W69" s="111"/>
      <c r="X69" s="111">
        <f>Table14[[#This Row],[Coil Size]]*Table14[[#This Row],[D10]]/1000*VLOOKUP(Table14[[#This Row],[Navision Code]],'TABULAR PRICE LIST'!A:L,11,FALSE)</f>
        <v>0</v>
      </c>
      <c r="Y69" s="111">
        <f>IFERROR(Table14[[#This Row],[Coil Size]]*Table14[[#This Row],[D10]]/1000*VLOOKUP(Table14[[#This Row],[Navision Code]],'TABULAR PRICE LIST'!A:L,10,FALSE),0)</f>
        <v>0</v>
      </c>
      <c r="Z69" s="111">
        <f>VLOOKUP(C69,'TABULAR PRICE LIST'!$A:$L,12,FALSE)</f>
        <v>1136</v>
      </c>
      <c r="AA69" s="111">
        <f>Table14[[#This Row],[Coil Size]]*Table14[[#This Row],[D10]]/1000</f>
        <v>0</v>
      </c>
      <c r="AB69" s="111">
        <f>Table14[[#This Row],[Weight/KYD]]*Table14[[#This Row],[D10]]</f>
        <v>0</v>
      </c>
      <c r="AC69" s="177"/>
      <c r="AD69" s="111">
        <v>100</v>
      </c>
    </row>
    <row r="70" spans="1:30" s="196" customFormat="1" ht="18.5" x14ac:dyDescent="0.45">
      <c r="A70" s="189" t="s">
        <v>30</v>
      </c>
      <c r="B70" s="18">
        <f t="shared" si="1"/>
        <v>61</v>
      </c>
      <c r="C70" s="19" t="s">
        <v>460</v>
      </c>
      <c r="D70" s="19" t="s">
        <v>15</v>
      </c>
      <c r="E70" s="19" t="s">
        <v>16</v>
      </c>
      <c r="F70" s="19">
        <v>100</v>
      </c>
      <c r="G70" s="22" t="s">
        <v>129</v>
      </c>
      <c r="H70" s="22" t="s">
        <v>476</v>
      </c>
      <c r="I70" s="20"/>
      <c r="J70" s="48">
        <f>Table1[[#This Row],[B]]</f>
        <v>0</v>
      </c>
      <c r="K70" s="48">
        <f>Table1[[#This Row],[BE]]</f>
        <v>0</v>
      </c>
      <c r="L70" s="48">
        <f>Table1[[#This Row],[G]]</f>
        <v>0</v>
      </c>
      <c r="M70" s="48">
        <f>Table1[[#This Row],[J]]</f>
        <v>0</v>
      </c>
      <c r="N70" s="197">
        <f>Table1[[#This Row],[N]]</f>
        <v>0</v>
      </c>
      <c r="O70" s="48">
        <f>Table1[[#This Row],[R]]</f>
        <v>0</v>
      </c>
      <c r="P70" s="48">
        <f>Table1[[#This Row],[V]]</f>
        <v>0</v>
      </c>
      <c r="Q70" s="48">
        <f>Table1[[#This Row],[VJ]]</f>
        <v>0</v>
      </c>
      <c r="R70" s="48">
        <f>Table1[[#This Row],[RN]]</f>
        <v>0</v>
      </c>
      <c r="S70" s="48">
        <f>Table1[[#This Row],[Blank]]</f>
        <v>0</v>
      </c>
      <c r="T70" s="49">
        <f>SUM(Table14[[#This Row],[B]:[Blank]])</f>
        <v>0</v>
      </c>
      <c r="U70" s="122">
        <v>10.59</v>
      </c>
      <c r="V70" s="123">
        <f t="shared" si="0"/>
        <v>0</v>
      </c>
      <c r="W70" s="111"/>
      <c r="X70" s="111">
        <f>Table14[[#This Row],[Coil Size]]*Table14[[#This Row],[D10]]/1000*VLOOKUP(Table14[[#This Row],[Navision Code]],'TABULAR PRICE LIST'!A:L,11,FALSE)</f>
        <v>0</v>
      </c>
      <c r="Y70" s="111">
        <f>IFERROR(Table14[[#This Row],[Coil Size]]*Table14[[#This Row],[D10]]/1000*VLOOKUP(Table14[[#This Row],[Navision Code]],'TABULAR PRICE LIST'!A:L,10,FALSE),0)</f>
        <v>0</v>
      </c>
      <c r="Z70" s="111">
        <f>VLOOKUP(C70,'TABULAR PRICE LIST'!$A:$L,12,FALSE)</f>
        <v>1470</v>
      </c>
      <c r="AA70" s="111">
        <f>Table14[[#This Row],[Coil Size]]*Table14[[#This Row],[D10]]/1000</f>
        <v>0</v>
      </c>
      <c r="AB70" s="111">
        <f>Table14[[#This Row],[Weight/KYD]]*Table14[[#This Row],[D10]]</f>
        <v>0</v>
      </c>
      <c r="AC70" s="177"/>
      <c r="AD70" s="111">
        <v>100</v>
      </c>
    </row>
    <row r="71" spans="1:30" s="196" customFormat="1" ht="18.5" x14ac:dyDescent="0.45">
      <c r="A71" s="189" t="s">
        <v>30</v>
      </c>
      <c r="B71" s="26">
        <f t="shared" si="1"/>
        <v>62</v>
      </c>
      <c r="C71" s="27" t="s">
        <v>461</v>
      </c>
      <c r="D71" s="27" t="s">
        <v>15</v>
      </c>
      <c r="E71" s="27" t="s">
        <v>16</v>
      </c>
      <c r="F71" s="27">
        <v>100</v>
      </c>
      <c r="G71" s="22" t="s">
        <v>129</v>
      </c>
      <c r="H71" s="22" t="s">
        <v>477</v>
      </c>
      <c r="I71" s="20"/>
      <c r="J71" s="48">
        <f>Table1[[#This Row],[B]]</f>
        <v>0</v>
      </c>
      <c r="K71" s="48">
        <f>Table1[[#This Row],[BE]]</f>
        <v>0</v>
      </c>
      <c r="L71" s="48">
        <f>Table1[[#This Row],[G]]</f>
        <v>0</v>
      </c>
      <c r="M71" s="48">
        <f>Table1[[#This Row],[J]]</f>
        <v>0</v>
      </c>
      <c r="N71" s="193">
        <f>Table1[[#This Row],[N]]</f>
        <v>0</v>
      </c>
      <c r="O71" s="48">
        <f>Table1[[#This Row],[R]]</f>
        <v>0</v>
      </c>
      <c r="P71" s="48">
        <f>Table1[[#This Row],[V]]</f>
        <v>0</v>
      </c>
      <c r="Q71" s="48">
        <f>Table1[[#This Row],[VJ]]</f>
        <v>0</v>
      </c>
      <c r="R71" s="48">
        <f>Table1[[#This Row],[RN]]</f>
        <v>0</v>
      </c>
      <c r="S71" s="48">
        <f>Table1[[#This Row],[Blank]]</f>
        <v>0</v>
      </c>
      <c r="T71" s="49">
        <f>SUM(Table14[[#This Row],[B]:[Blank]])</f>
        <v>0</v>
      </c>
      <c r="U71" s="122">
        <v>10.265000000000001</v>
      </c>
      <c r="V71" s="123">
        <f t="shared" si="0"/>
        <v>0</v>
      </c>
      <c r="W71" s="111"/>
      <c r="X71" s="111">
        <f>Table14[[#This Row],[Coil Size]]*Table14[[#This Row],[D10]]/1000*VLOOKUP(Table14[[#This Row],[Navision Code]],'TABULAR PRICE LIST'!A:L,11,FALSE)</f>
        <v>0</v>
      </c>
      <c r="Y71" s="111">
        <f>IFERROR(Table14[[#This Row],[Coil Size]]*Table14[[#This Row],[D10]]/1000*VLOOKUP(Table14[[#This Row],[Navision Code]],'TABULAR PRICE LIST'!A:L,10,FALSE),0)</f>
        <v>0</v>
      </c>
      <c r="Z71" s="111">
        <f>VLOOKUP(C71,'TABULAR PRICE LIST'!$A:$L,12,FALSE)</f>
        <v>1247</v>
      </c>
      <c r="AA71" s="111">
        <f>Table14[[#This Row],[Coil Size]]*Table14[[#This Row],[D10]]/1000</f>
        <v>0</v>
      </c>
      <c r="AB71" s="111">
        <f>Table14[[#This Row],[Weight/KYD]]*Table14[[#This Row],[D10]]</f>
        <v>0</v>
      </c>
      <c r="AC71" s="177"/>
      <c r="AD71" s="111">
        <v>100</v>
      </c>
    </row>
    <row r="72" spans="1:30" s="196" customFormat="1" ht="18.5" x14ac:dyDescent="0.45">
      <c r="A72" s="189" t="s">
        <v>30</v>
      </c>
      <c r="B72" s="18">
        <f t="shared" si="1"/>
        <v>63</v>
      </c>
      <c r="C72" s="19" t="s">
        <v>462</v>
      </c>
      <c r="D72" s="19" t="s">
        <v>15</v>
      </c>
      <c r="E72" s="19" t="s">
        <v>16</v>
      </c>
      <c r="F72" s="19">
        <v>100</v>
      </c>
      <c r="G72" s="22" t="s">
        <v>129</v>
      </c>
      <c r="H72" s="22" t="s">
        <v>478</v>
      </c>
      <c r="I72" s="20"/>
      <c r="J72" s="48">
        <f>Table1[[#This Row],[B]]</f>
        <v>0</v>
      </c>
      <c r="K72" s="48">
        <f>Table1[[#This Row],[BE]]</f>
        <v>0</v>
      </c>
      <c r="L72" s="48">
        <f>Table1[[#This Row],[G]]</f>
        <v>0</v>
      </c>
      <c r="M72" s="48">
        <f>Table1[[#This Row],[J]]</f>
        <v>0</v>
      </c>
      <c r="N72" s="193">
        <f>Table1[[#This Row],[N]]</f>
        <v>0</v>
      </c>
      <c r="O72" s="48">
        <f>Table1[[#This Row],[R]]</f>
        <v>0</v>
      </c>
      <c r="P72" s="48">
        <f>Table1[[#This Row],[V]]</f>
        <v>0</v>
      </c>
      <c r="Q72" s="48">
        <f>Table1[[#This Row],[VJ]]</f>
        <v>0</v>
      </c>
      <c r="R72" s="48">
        <f>Table1[[#This Row],[RN]]</f>
        <v>0</v>
      </c>
      <c r="S72" s="48">
        <f>Table1[[#This Row],[Blank]]</f>
        <v>0</v>
      </c>
      <c r="T72" s="49">
        <f>SUM(Table14[[#This Row],[B]:[Blank]])</f>
        <v>0</v>
      </c>
      <c r="U72" s="122">
        <v>12.725</v>
      </c>
      <c r="V72" s="123">
        <f t="shared" si="0"/>
        <v>0</v>
      </c>
      <c r="W72" s="111"/>
      <c r="X72" s="111">
        <f>Table14[[#This Row],[Coil Size]]*Table14[[#This Row],[D10]]/1000*VLOOKUP(Table14[[#This Row],[Navision Code]],'TABULAR PRICE LIST'!A:L,11,FALSE)</f>
        <v>0</v>
      </c>
      <c r="Y72" s="111">
        <f>IFERROR(Table14[[#This Row],[Coil Size]]*Table14[[#This Row],[D10]]/1000*VLOOKUP(Table14[[#This Row],[Navision Code]],'TABULAR PRICE LIST'!A:L,10,FALSE),0)</f>
        <v>0</v>
      </c>
      <c r="Z72" s="111">
        <f>VLOOKUP(C72,'TABULAR PRICE LIST'!$A:$L,12,FALSE)</f>
        <v>1663</v>
      </c>
      <c r="AA72" s="111">
        <f>Table14[[#This Row],[Coil Size]]*Table14[[#This Row],[D10]]/1000</f>
        <v>0</v>
      </c>
      <c r="AB72" s="111">
        <f>Table14[[#This Row],[Weight/KYD]]*Table14[[#This Row],[D10]]</f>
        <v>0</v>
      </c>
      <c r="AC72" s="177"/>
      <c r="AD72" s="111">
        <v>100</v>
      </c>
    </row>
    <row r="73" spans="1:30" s="196" customFormat="1" thickBot="1" x14ac:dyDescent="0.5">
      <c r="A73" s="189" t="s">
        <v>30</v>
      </c>
      <c r="B73" s="26">
        <f t="shared" si="1"/>
        <v>64</v>
      </c>
      <c r="C73" s="24" t="s">
        <v>463</v>
      </c>
      <c r="D73" s="24" t="s">
        <v>15</v>
      </c>
      <c r="E73" s="24" t="s">
        <v>16</v>
      </c>
      <c r="F73" s="24">
        <v>100</v>
      </c>
      <c r="G73" s="22" t="s">
        <v>129</v>
      </c>
      <c r="H73" s="22" t="s">
        <v>479</v>
      </c>
      <c r="I73" s="20"/>
      <c r="J73" s="48">
        <f>Table1[[#This Row],[B]]</f>
        <v>0</v>
      </c>
      <c r="K73" s="48">
        <f>Table1[[#This Row],[BE]]</f>
        <v>0</v>
      </c>
      <c r="L73" s="48">
        <f>Table1[[#This Row],[G]]</f>
        <v>0</v>
      </c>
      <c r="M73" s="48">
        <f>Table1[[#This Row],[J]]</f>
        <v>0</v>
      </c>
      <c r="N73" s="193">
        <f>Table1[[#This Row],[N]]</f>
        <v>0</v>
      </c>
      <c r="O73" s="48">
        <f>Table1[[#This Row],[R]]</f>
        <v>0</v>
      </c>
      <c r="P73" s="48">
        <f>Table1[[#This Row],[V]]</f>
        <v>0</v>
      </c>
      <c r="Q73" s="48">
        <f>Table1[[#This Row],[VJ]]</f>
        <v>0</v>
      </c>
      <c r="R73" s="48">
        <f>Table1[[#This Row],[RN]]</f>
        <v>0</v>
      </c>
      <c r="S73" s="48">
        <f>Table1[[#This Row],[Blank]]</f>
        <v>0</v>
      </c>
      <c r="T73" s="49">
        <f>SUM(Table14[[#This Row],[B]:[Blank]])</f>
        <v>0</v>
      </c>
      <c r="U73" s="122">
        <v>16.899999999999999</v>
      </c>
      <c r="V73" s="123">
        <f t="shared" si="0"/>
        <v>0</v>
      </c>
      <c r="W73" s="111"/>
      <c r="X73" s="111">
        <f>Table14[[#This Row],[Coil Size]]*Table14[[#This Row],[D10]]/1000*VLOOKUP(Table14[[#This Row],[Navision Code]],'TABULAR PRICE LIST'!A:L,11,FALSE)</f>
        <v>0</v>
      </c>
      <c r="Y73" s="111">
        <f>IFERROR(Table14[[#This Row],[Coil Size]]*Table14[[#This Row],[D10]]/1000*VLOOKUP(Table14[[#This Row],[Navision Code]],'TABULAR PRICE LIST'!A:L,10,FALSE),0)</f>
        <v>0</v>
      </c>
      <c r="Z73" s="111">
        <f>VLOOKUP(C73,'TABULAR PRICE LIST'!$A:$L,12,FALSE)</f>
        <v>2324</v>
      </c>
      <c r="AA73" s="111">
        <f>Table14[[#This Row],[Coil Size]]*Table14[[#This Row],[D10]]/1000</f>
        <v>0</v>
      </c>
      <c r="AB73" s="111">
        <f>Table14[[#This Row],[Weight/KYD]]*Table14[[#This Row],[D10]]</f>
        <v>0</v>
      </c>
      <c r="AC73" s="177"/>
      <c r="AD73" s="111">
        <v>100</v>
      </c>
    </row>
    <row r="74" spans="1:30" s="196" customFormat="1" ht="18.5" x14ac:dyDescent="0.45">
      <c r="A74" s="189" t="s">
        <v>30</v>
      </c>
      <c r="B74" s="15">
        <f t="shared" si="1"/>
        <v>65</v>
      </c>
      <c r="C74" s="16" t="s">
        <v>156</v>
      </c>
      <c r="D74" s="16" t="s">
        <v>15</v>
      </c>
      <c r="E74" s="16" t="s">
        <v>19</v>
      </c>
      <c r="F74" s="16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"),AD74,Table14[[#This Row],[Cod No]])</f>
        <v>100</v>
      </c>
      <c r="G74" s="17" t="s">
        <v>157</v>
      </c>
      <c r="H74" s="17" t="s">
        <v>158</v>
      </c>
      <c r="I74" s="17"/>
      <c r="J74" s="42">
        <f>Table1[[#This Row],[B]]</f>
        <v>0</v>
      </c>
      <c r="K74" s="42">
        <f>Table1[[#This Row],[BE]]</f>
        <v>0</v>
      </c>
      <c r="L74" s="42">
        <f>Table1[[#This Row],[G]]</f>
        <v>0</v>
      </c>
      <c r="M74" s="42">
        <f>Table1[[#This Row],[J]]</f>
        <v>0</v>
      </c>
      <c r="N74" s="190">
        <f>Table1[[#This Row],[N]]</f>
        <v>0</v>
      </c>
      <c r="O74" s="42">
        <f>Table1[[#This Row],[R]]</f>
        <v>0</v>
      </c>
      <c r="P74" s="42">
        <f>Table1[[#This Row],[V]]</f>
        <v>0</v>
      </c>
      <c r="Q74" s="42">
        <f>Table1[[#This Row],[VJ]]</f>
        <v>0</v>
      </c>
      <c r="R74" s="42">
        <f>Table1[[#This Row],[RN]]</f>
        <v>0</v>
      </c>
      <c r="S74" s="42">
        <f>Table1[[#This Row],[Blank]]</f>
        <v>0</v>
      </c>
      <c r="T74" s="43">
        <f>SUM(Table14[[#This Row],[B]:[Blank]])</f>
        <v>0</v>
      </c>
      <c r="U74" s="114">
        <v>9.4700000000000006</v>
      </c>
      <c r="V74" s="115">
        <f t="shared" si="0"/>
        <v>0</v>
      </c>
      <c r="W74" s="191">
        <v>0.43530000000000008</v>
      </c>
      <c r="X74" s="113">
        <f>Table14[[#This Row],[Coil Size]]*Table14[[#This Row],[D10]]/1000*VLOOKUP(Table14[[#This Row],[Navision Code]],'TABULAR PRICE LIST'!A:L,11,FALSE)</f>
        <v>0</v>
      </c>
      <c r="Y74" s="113">
        <f>IFERROR(Table14[[#This Row],[Coil Size]]*Table14[[#This Row],[D10]]/1000*VLOOKUP(Table14[[#This Row],[Navision Code]],'TABULAR PRICE LIST'!A:L,10,FALSE),0)</f>
        <v>0</v>
      </c>
      <c r="Z74" s="113">
        <f>VLOOKUP(C74,'TABULAR PRICE LIST'!$A:$L,12,FALSE)</f>
        <v>1111</v>
      </c>
      <c r="AA74" s="113">
        <f>Table14[[#This Row],[Coil Size]]*Table14[[#This Row],[D10]]/1000</f>
        <v>0</v>
      </c>
      <c r="AB74" s="191">
        <f>Table14[[#This Row],[Weight/KYD]]*Table14[[#This Row],[D10]]</f>
        <v>0</v>
      </c>
      <c r="AC74" s="177"/>
      <c r="AD74" s="191">
        <v>100</v>
      </c>
    </row>
    <row r="75" spans="1:30" s="196" customFormat="1" ht="18.5" x14ac:dyDescent="0.45">
      <c r="A75" s="189" t="s">
        <v>30</v>
      </c>
      <c r="B75" s="18">
        <f t="shared" si="1"/>
        <v>66</v>
      </c>
      <c r="C75" s="19" t="s">
        <v>159</v>
      </c>
      <c r="D75" s="19" t="s">
        <v>15</v>
      </c>
      <c r="E75" s="19" t="s">
        <v>19</v>
      </c>
      <c r="F75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"),AD75,Table14[[#This Row],[Cod No]])</f>
        <v>100</v>
      </c>
      <c r="G75" s="20" t="s">
        <v>157</v>
      </c>
      <c r="H75" s="20" t="s">
        <v>160</v>
      </c>
      <c r="I75" s="20"/>
      <c r="J75" s="44">
        <f>Table1[[#This Row],[B]]</f>
        <v>0</v>
      </c>
      <c r="K75" s="44">
        <f>Table1[[#This Row],[BE]]</f>
        <v>0</v>
      </c>
      <c r="L75" s="44">
        <f>Table1[[#This Row],[G]]</f>
        <v>0</v>
      </c>
      <c r="M75" s="44">
        <f>Table1[[#This Row],[J]]</f>
        <v>0</v>
      </c>
      <c r="N75" s="193">
        <f>Table1[[#This Row],[N]]</f>
        <v>0</v>
      </c>
      <c r="O75" s="44">
        <f>Table1[[#This Row],[R]]</f>
        <v>0</v>
      </c>
      <c r="P75" s="44">
        <f>Table1[[#This Row],[V]]</f>
        <v>0</v>
      </c>
      <c r="Q75" s="44">
        <f>Table1[[#This Row],[VJ]]</f>
        <v>0</v>
      </c>
      <c r="R75" s="44">
        <f>Table1[[#This Row],[RN]]</f>
        <v>0</v>
      </c>
      <c r="S75" s="44">
        <f>Table1[[#This Row],[Blank]]</f>
        <v>0</v>
      </c>
      <c r="T75" s="45">
        <f>SUM(Table14[[#This Row],[B]:[Blank]])</f>
        <v>0</v>
      </c>
      <c r="U75" s="116">
        <v>13.58</v>
      </c>
      <c r="V75" s="118">
        <f t="shared" si="0"/>
        <v>0</v>
      </c>
      <c r="W75" s="111">
        <v>0.68379999999999996</v>
      </c>
      <c r="X75" s="111">
        <f>Table14[[#This Row],[Coil Size]]*Table14[[#This Row],[D10]]/1000*VLOOKUP(Table14[[#This Row],[Navision Code]],'TABULAR PRICE LIST'!A:L,11,FALSE)</f>
        <v>0</v>
      </c>
      <c r="Y75" s="111">
        <f>IFERROR(Table14[[#This Row],[Coil Size]]*Table14[[#This Row],[D10]]/1000*VLOOKUP(Table14[[#This Row],[Navision Code]],'TABULAR PRICE LIST'!A:L,10,FALSE),0)</f>
        <v>0</v>
      </c>
      <c r="Z75" s="111">
        <f>VLOOKUP(C75,'TABULAR PRICE LIST'!$A:$L,12,FALSE)</f>
        <v>1725</v>
      </c>
      <c r="AA75" s="111">
        <f>Table14[[#This Row],[Coil Size]]*Table14[[#This Row],[D10]]/1000</f>
        <v>0</v>
      </c>
      <c r="AB75" s="111">
        <f>Table14[[#This Row],[Weight/KYD]]*Table14[[#This Row],[D10]]</f>
        <v>0</v>
      </c>
      <c r="AC75" s="177"/>
      <c r="AD75" s="111">
        <v>100</v>
      </c>
    </row>
    <row r="76" spans="1:30" s="196" customFormat="1" ht="18.5" x14ac:dyDescent="0.45">
      <c r="A76" s="189" t="s">
        <v>30</v>
      </c>
      <c r="B76" s="18">
        <f t="shared" ref="B76:B103" si="2">B75+1</f>
        <v>67</v>
      </c>
      <c r="C76" s="19" t="s">
        <v>161</v>
      </c>
      <c r="D76" s="19" t="s">
        <v>15</v>
      </c>
      <c r="E76" s="19" t="s">
        <v>19</v>
      </c>
      <c r="F76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"),AD76,Table14[[#This Row],[Cod No]])</f>
        <v>100</v>
      </c>
      <c r="G76" s="20" t="s">
        <v>157</v>
      </c>
      <c r="H76" s="20" t="s">
        <v>132</v>
      </c>
      <c r="I76" s="20"/>
      <c r="J76" s="44">
        <f>Table1[[#This Row],[B]]</f>
        <v>0</v>
      </c>
      <c r="K76" s="44">
        <f>Table1[[#This Row],[BE]]</f>
        <v>0</v>
      </c>
      <c r="L76" s="44">
        <f>Table1[[#This Row],[G]]</f>
        <v>0</v>
      </c>
      <c r="M76" s="44">
        <f>Table1[[#This Row],[J]]</f>
        <v>0</v>
      </c>
      <c r="N76" s="193">
        <f>Table1[[#This Row],[N]]</f>
        <v>0</v>
      </c>
      <c r="O76" s="44">
        <f>Table1[[#This Row],[R]]</f>
        <v>0</v>
      </c>
      <c r="P76" s="44">
        <f>Table1[[#This Row],[V]]</f>
        <v>0</v>
      </c>
      <c r="Q76" s="44">
        <f>Table1[[#This Row],[VJ]]</f>
        <v>0</v>
      </c>
      <c r="R76" s="44">
        <f>Table1[[#This Row],[RN]]</f>
        <v>0</v>
      </c>
      <c r="S76" s="44">
        <f>Table1[[#This Row],[Blank]]</f>
        <v>0</v>
      </c>
      <c r="T76" s="45">
        <f>SUM(Table14[[#This Row],[B]:[Blank]])</f>
        <v>0</v>
      </c>
      <c r="U76" s="116">
        <v>18.399999999999999</v>
      </c>
      <c r="V76" s="118">
        <f t="shared" si="0"/>
        <v>0</v>
      </c>
      <c r="W76" s="111">
        <v>1.02</v>
      </c>
      <c r="X76" s="111">
        <f>Table14[[#This Row],[Coil Size]]*Table14[[#This Row],[D10]]/1000*VLOOKUP(Table14[[#This Row],[Navision Code]],'TABULAR PRICE LIST'!A:L,11,FALSE)</f>
        <v>0</v>
      </c>
      <c r="Y76" s="111">
        <f>IFERROR(Table14[[#This Row],[Coil Size]]*Table14[[#This Row],[D10]]/1000*VLOOKUP(Table14[[#This Row],[Navision Code]],'TABULAR PRICE LIST'!A:L,10,FALSE),0)</f>
        <v>0</v>
      </c>
      <c r="Z76" s="111">
        <f>VLOOKUP(C76,'TABULAR PRICE LIST'!$A:$L,12,FALSE)</f>
        <v>2338</v>
      </c>
      <c r="AA76" s="111">
        <f>Table14[[#This Row],[Coil Size]]*Table14[[#This Row],[D10]]/1000</f>
        <v>0</v>
      </c>
      <c r="AB76" s="111">
        <f>Table14[[#This Row],[Weight/KYD]]*Table14[[#This Row],[D10]]</f>
        <v>0</v>
      </c>
      <c r="AC76" s="177"/>
      <c r="AD76" s="111">
        <v>100</v>
      </c>
    </row>
    <row r="77" spans="1:30" s="196" customFormat="1" ht="18.5" x14ac:dyDescent="0.45">
      <c r="A77" s="189" t="s">
        <v>30</v>
      </c>
      <c r="B77" s="18">
        <f t="shared" si="2"/>
        <v>68</v>
      </c>
      <c r="C77" s="19" t="s">
        <v>162</v>
      </c>
      <c r="D77" s="19" t="s">
        <v>15</v>
      </c>
      <c r="E77" s="19" t="s">
        <v>19</v>
      </c>
      <c r="F77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"),AD77,Table14[[#This Row],[Cod No]])</f>
        <v>100</v>
      </c>
      <c r="G77" s="20" t="s">
        <v>157</v>
      </c>
      <c r="H77" s="20" t="s">
        <v>134</v>
      </c>
      <c r="I77" s="20"/>
      <c r="J77" s="44">
        <f>Table1[[#This Row],[B]]</f>
        <v>0</v>
      </c>
      <c r="K77" s="44">
        <f>Table1[[#This Row],[BE]]</f>
        <v>0</v>
      </c>
      <c r="L77" s="44">
        <f>Table1[[#This Row],[G]]</f>
        <v>0</v>
      </c>
      <c r="M77" s="44">
        <f>Table1[[#This Row],[J]]</f>
        <v>0</v>
      </c>
      <c r="N77" s="193">
        <f>Table1[[#This Row],[N]]</f>
        <v>0</v>
      </c>
      <c r="O77" s="44">
        <f>Table1[[#This Row],[R]]</f>
        <v>0</v>
      </c>
      <c r="P77" s="44">
        <f>Table1[[#This Row],[V]]</f>
        <v>0</v>
      </c>
      <c r="Q77" s="44">
        <f>Table1[[#This Row],[VJ]]</f>
        <v>0</v>
      </c>
      <c r="R77" s="44">
        <f>Table1[[#This Row],[RN]]</f>
        <v>0</v>
      </c>
      <c r="S77" s="44">
        <f>Table1[[#This Row],[Blank]]</f>
        <v>0</v>
      </c>
      <c r="T77" s="45">
        <f>SUM(Table14[[#This Row],[B]:[Blank]])</f>
        <v>0</v>
      </c>
      <c r="U77" s="116">
        <v>21.75</v>
      </c>
      <c r="V77" s="118">
        <f t="shared" si="0"/>
        <v>0</v>
      </c>
      <c r="W77" s="111">
        <v>0.39240000000000003</v>
      </c>
      <c r="X77" s="111">
        <f>Table14[[#This Row],[Coil Size]]*Table14[[#This Row],[D10]]/1000*VLOOKUP(Table14[[#This Row],[Navision Code]],'TABULAR PRICE LIST'!A:L,11,FALSE)</f>
        <v>0</v>
      </c>
      <c r="Y77" s="111">
        <f>IFERROR(Table14[[#This Row],[Coil Size]]*Table14[[#This Row],[D10]]/1000*VLOOKUP(Table14[[#This Row],[Navision Code]],'TABULAR PRICE LIST'!A:L,10,FALSE),0)</f>
        <v>0</v>
      </c>
      <c r="Z77" s="111">
        <f>VLOOKUP(C77,'TABULAR PRICE LIST'!$A:$L,12,FALSE)</f>
        <v>3051</v>
      </c>
      <c r="AA77" s="111">
        <f>Table14[[#This Row],[Coil Size]]*Table14[[#This Row],[D10]]/1000</f>
        <v>0</v>
      </c>
      <c r="AB77" s="111">
        <f>Table14[[#This Row],[Weight/KYD]]*Table14[[#This Row],[D10]]</f>
        <v>0</v>
      </c>
      <c r="AC77" s="177"/>
      <c r="AD77" s="111">
        <v>100</v>
      </c>
    </row>
    <row r="78" spans="1:30" s="196" customFormat="1" ht="18.5" x14ac:dyDescent="0.45">
      <c r="A78" s="189" t="s">
        <v>30</v>
      </c>
      <c r="B78" s="18">
        <f t="shared" si="2"/>
        <v>69</v>
      </c>
      <c r="C78" s="19" t="s">
        <v>163</v>
      </c>
      <c r="D78" s="19" t="s">
        <v>15</v>
      </c>
      <c r="E78" s="19" t="s">
        <v>19</v>
      </c>
      <c r="F78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"),AD78,Table14[[#This Row],[Cod No]])</f>
        <v>100</v>
      </c>
      <c r="G78" s="20" t="s">
        <v>157</v>
      </c>
      <c r="H78" s="20" t="s">
        <v>164</v>
      </c>
      <c r="I78" s="20"/>
      <c r="J78" s="44">
        <f>Table1[[#This Row],[B]]</f>
        <v>0</v>
      </c>
      <c r="K78" s="44">
        <f>Table1[[#This Row],[BE]]</f>
        <v>0</v>
      </c>
      <c r="L78" s="44">
        <f>Table1[[#This Row],[G]]</f>
        <v>0</v>
      </c>
      <c r="M78" s="44">
        <f>Table1[[#This Row],[J]]</f>
        <v>0</v>
      </c>
      <c r="N78" s="193">
        <f>Table1[[#This Row],[N]]</f>
        <v>0</v>
      </c>
      <c r="O78" s="44">
        <f>Table1[[#This Row],[R]]</f>
        <v>0</v>
      </c>
      <c r="P78" s="44">
        <f>Table1[[#This Row],[V]]</f>
        <v>0</v>
      </c>
      <c r="Q78" s="44">
        <f>Table1[[#This Row],[VJ]]</f>
        <v>0</v>
      </c>
      <c r="R78" s="44">
        <f>Table1[[#This Row],[RN]]</f>
        <v>0</v>
      </c>
      <c r="S78" s="44">
        <f>Table1[[#This Row],[Blank]]</f>
        <v>0</v>
      </c>
      <c r="T78" s="45">
        <f>SUM(Table14[[#This Row],[B]:[Blank]])</f>
        <v>0</v>
      </c>
      <c r="U78" s="116">
        <v>11.8</v>
      </c>
      <c r="V78" s="118">
        <f t="shared" ref="V78:V142" si="3">U78*T78</f>
        <v>0</v>
      </c>
      <c r="W78" s="111">
        <v>0.65300000000000002</v>
      </c>
      <c r="X78" s="111">
        <f>Table14[[#This Row],[Coil Size]]*Table14[[#This Row],[D10]]/1000*VLOOKUP(Table14[[#This Row],[Navision Code]],'TABULAR PRICE LIST'!A:L,11,FALSE)</f>
        <v>0</v>
      </c>
      <c r="Y78" s="111">
        <f>IFERROR(Table14[[#This Row],[Coil Size]]*Table14[[#This Row],[D10]]/1000*VLOOKUP(Table14[[#This Row],[Navision Code]],'TABULAR PRICE LIST'!A:L,10,FALSE),0)</f>
        <v>0</v>
      </c>
      <c r="Z78" s="111">
        <f>VLOOKUP(C78,'TABULAR PRICE LIST'!$A:$L,12,FALSE)</f>
        <v>1461</v>
      </c>
      <c r="AA78" s="111">
        <f>Table14[[#This Row],[Coil Size]]*Table14[[#This Row],[D10]]/1000</f>
        <v>0</v>
      </c>
      <c r="AB78" s="111">
        <f>Table14[[#This Row],[Weight/KYD]]*Table14[[#This Row],[D10]]</f>
        <v>0</v>
      </c>
      <c r="AC78" s="177"/>
      <c r="AD78" s="111">
        <v>100</v>
      </c>
    </row>
    <row r="79" spans="1:30" s="196" customFormat="1" ht="18.5" x14ac:dyDescent="0.45">
      <c r="A79" s="189" t="s">
        <v>30</v>
      </c>
      <c r="B79" s="18">
        <f t="shared" si="2"/>
        <v>70</v>
      </c>
      <c r="C79" s="19" t="s">
        <v>18</v>
      </c>
      <c r="D79" s="19" t="s">
        <v>15</v>
      </c>
      <c r="E79" s="19" t="s">
        <v>19</v>
      </c>
      <c r="F79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"),AD79,Table14[[#This Row],[Cod No]])</f>
        <v>100</v>
      </c>
      <c r="G79" s="20" t="s">
        <v>157</v>
      </c>
      <c r="H79" s="20" t="s">
        <v>165</v>
      </c>
      <c r="I79" s="20"/>
      <c r="J79" s="44">
        <f>Table1[[#This Row],[B]]</f>
        <v>0</v>
      </c>
      <c r="K79" s="44">
        <f>Table1[[#This Row],[BE]]</f>
        <v>0</v>
      </c>
      <c r="L79" s="44">
        <f>Table1[[#This Row],[G]]</f>
        <v>0</v>
      </c>
      <c r="M79" s="44">
        <f>Table1[[#This Row],[J]]</f>
        <v>0</v>
      </c>
      <c r="N79" s="193">
        <f>Table1[[#This Row],[N]]</f>
        <v>0</v>
      </c>
      <c r="O79" s="44">
        <f>Table1[[#This Row],[R]]</f>
        <v>0</v>
      </c>
      <c r="P79" s="44">
        <f>Table1[[#This Row],[V]]</f>
        <v>0</v>
      </c>
      <c r="Q79" s="44">
        <f>Table1[[#This Row],[VJ]]</f>
        <v>0</v>
      </c>
      <c r="R79" s="44">
        <f>Table1[[#This Row],[RN]]</f>
        <v>0</v>
      </c>
      <c r="S79" s="44">
        <f>Table1[[#This Row],[Blank]]</f>
        <v>0</v>
      </c>
      <c r="T79" s="45">
        <f>SUM(Table14[[#This Row],[B]:[Blank]])</f>
        <v>0</v>
      </c>
      <c r="U79" s="116">
        <v>16.37</v>
      </c>
      <c r="V79" s="118">
        <f t="shared" si="3"/>
        <v>0</v>
      </c>
      <c r="W79" s="111">
        <v>1.026</v>
      </c>
      <c r="X79" s="111">
        <f>Table14[[#This Row],[Coil Size]]*Table14[[#This Row],[D10]]/1000*VLOOKUP(Table14[[#This Row],[Navision Code]],'TABULAR PRICE LIST'!A:L,11,FALSE)</f>
        <v>0</v>
      </c>
      <c r="Y79" s="111">
        <f>IFERROR(Table14[[#This Row],[Coil Size]]*Table14[[#This Row],[D10]]/1000*VLOOKUP(Table14[[#This Row],[Navision Code]],'TABULAR PRICE LIST'!A:L,10,FALSE),0)</f>
        <v>0</v>
      </c>
      <c r="Z79" s="111">
        <f>VLOOKUP(C79,'TABULAR PRICE LIST'!$A:$L,12,FALSE)</f>
        <v>1851</v>
      </c>
      <c r="AA79" s="111">
        <f>Table14[[#This Row],[Coil Size]]*Table14[[#This Row],[D10]]/1000</f>
        <v>0</v>
      </c>
      <c r="AB79" s="111">
        <f>Table14[[#This Row],[Weight/KYD]]*Table14[[#This Row],[D10]]</f>
        <v>0</v>
      </c>
      <c r="AC79" s="177"/>
      <c r="AD79" s="111">
        <v>100</v>
      </c>
    </row>
    <row r="80" spans="1:30" s="196" customFormat="1" ht="18.5" x14ac:dyDescent="0.45">
      <c r="A80" s="189" t="s">
        <v>30</v>
      </c>
      <c r="B80" s="18">
        <f t="shared" si="2"/>
        <v>71</v>
      </c>
      <c r="C80" s="19" t="s">
        <v>166</v>
      </c>
      <c r="D80" s="19" t="s">
        <v>15</v>
      </c>
      <c r="E80" s="19" t="s">
        <v>19</v>
      </c>
      <c r="F80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"),AD80,Table14[[#This Row],[Cod No]])</f>
        <v>100</v>
      </c>
      <c r="G80" s="20" t="s">
        <v>157</v>
      </c>
      <c r="H80" s="20" t="s">
        <v>142</v>
      </c>
      <c r="I80" s="20"/>
      <c r="J80" s="44">
        <f>Table1[[#This Row],[B]]</f>
        <v>0</v>
      </c>
      <c r="K80" s="44">
        <f>Table1[[#This Row],[BE]]</f>
        <v>0</v>
      </c>
      <c r="L80" s="44">
        <f>Table1[[#This Row],[G]]</f>
        <v>0</v>
      </c>
      <c r="M80" s="44">
        <f>Table1[[#This Row],[J]]</f>
        <v>0</v>
      </c>
      <c r="N80" s="193">
        <f>Table1[[#This Row],[N]]</f>
        <v>0</v>
      </c>
      <c r="O80" s="44">
        <f>Table1[[#This Row],[R]]</f>
        <v>0</v>
      </c>
      <c r="P80" s="44">
        <f>Table1[[#This Row],[V]]</f>
        <v>0</v>
      </c>
      <c r="Q80" s="44">
        <f>Table1[[#This Row],[VJ]]</f>
        <v>0</v>
      </c>
      <c r="R80" s="44">
        <f>Table1[[#This Row],[RN]]</f>
        <v>0</v>
      </c>
      <c r="S80" s="44">
        <f>Table1[[#This Row],[Blank]]</f>
        <v>0</v>
      </c>
      <c r="T80" s="45">
        <f>SUM(Table14[[#This Row],[B]:[Blank]])</f>
        <v>0</v>
      </c>
      <c r="U80" s="116">
        <v>21.8</v>
      </c>
      <c r="V80" s="118">
        <f t="shared" si="3"/>
        <v>0</v>
      </c>
      <c r="W80" s="111">
        <v>1.53</v>
      </c>
      <c r="X80" s="111">
        <f>Table14[[#This Row],[Coil Size]]*Table14[[#This Row],[D10]]/1000*VLOOKUP(Table14[[#This Row],[Navision Code]],'TABULAR PRICE LIST'!A:L,11,FALSE)</f>
        <v>0</v>
      </c>
      <c r="Y80" s="111">
        <f>IFERROR(Table14[[#This Row],[Coil Size]]*Table14[[#This Row],[D10]]/1000*VLOOKUP(Table14[[#This Row],[Navision Code]],'TABULAR PRICE LIST'!A:L,10,FALSE),0)</f>
        <v>0</v>
      </c>
      <c r="Z80" s="111">
        <f>VLOOKUP(C80,'TABULAR PRICE LIST'!$A:$L,12,FALSE)</f>
        <v>2817</v>
      </c>
      <c r="AA80" s="111">
        <f>Table14[[#This Row],[Coil Size]]*Table14[[#This Row],[D10]]/1000</f>
        <v>0</v>
      </c>
      <c r="AB80" s="111">
        <f>Table14[[#This Row],[Weight/KYD]]*Table14[[#This Row],[D10]]</f>
        <v>0</v>
      </c>
      <c r="AC80" s="177"/>
      <c r="AD80" s="111">
        <v>100</v>
      </c>
    </row>
    <row r="81" spans="1:30" s="196" customFormat="1" ht="18.5" x14ac:dyDescent="0.45">
      <c r="A81" s="189" t="s">
        <v>30</v>
      </c>
      <c r="B81" s="18">
        <f t="shared" si="2"/>
        <v>72</v>
      </c>
      <c r="C81" s="19" t="s">
        <v>167</v>
      </c>
      <c r="D81" s="19" t="s">
        <v>15</v>
      </c>
      <c r="E81" s="19" t="s">
        <v>19</v>
      </c>
      <c r="F81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"),AD81,Table14[[#This Row],[Cod No]])</f>
        <v>100</v>
      </c>
      <c r="G81" s="20" t="s">
        <v>157</v>
      </c>
      <c r="H81" s="20" t="s">
        <v>144</v>
      </c>
      <c r="I81" s="20"/>
      <c r="J81" s="44">
        <f>Table1[[#This Row],[B]]</f>
        <v>0</v>
      </c>
      <c r="K81" s="44">
        <f>Table1[[#This Row],[BE]]</f>
        <v>0</v>
      </c>
      <c r="L81" s="44">
        <f>Table1[[#This Row],[G]]</f>
        <v>0</v>
      </c>
      <c r="M81" s="44">
        <f>Table1[[#This Row],[J]]</f>
        <v>0</v>
      </c>
      <c r="N81" s="193">
        <f>Table1[[#This Row],[N]]</f>
        <v>0</v>
      </c>
      <c r="O81" s="44">
        <f>Table1[[#This Row],[R]]</f>
        <v>0</v>
      </c>
      <c r="P81" s="44">
        <f>Table1[[#This Row],[V]]</f>
        <v>0</v>
      </c>
      <c r="Q81" s="44">
        <f>Table1[[#This Row],[VJ]]</f>
        <v>0</v>
      </c>
      <c r="R81" s="44">
        <f>Table1[[#This Row],[RN]]</f>
        <v>0</v>
      </c>
      <c r="S81" s="44">
        <f>Table1[[#This Row],[Blank]]</f>
        <v>0</v>
      </c>
      <c r="T81" s="45">
        <f>SUM(Table14[[#This Row],[B]:[Blank]])</f>
        <v>0</v>
      </c>
      <c r="U81" s="116">
        <v>29.9</v>
      </c>
      <c r="V81" s="118">
        <f t="shared" si="3"/>
        <v>0</v>
      </c>
      <c r="W81" s="111">
        <v>0.5232</v>
      </c>
      <c r="X81" s="111">
        <f>Table14[[#This Row],[Coil Size]]*Table14[[#This Row],[D10]]/1000*VLOOKUP(Table14[[#This Row],[Navision Code]],'TABULAR PRICE LIST'!A:L,11,FALSE)</f>
        <v>0</v>
      </c>
      <c r="Y81" s="111">
        <f>IFERROR(Table14[[#This Row],[Coil Size]]*Table14[[#This Row],[D10]]/1000*VLOOKUP(Table14[[#This Row],[Navision Code]],'TABULAR PRICE LIST'!A:L,10,FALSE),0)</f>
        <v>0</v>
      </c>
      <c r="Z81" s="111">
        <f>VLOOKUP(C81,'TABULAR PRICE LIST'!$A:$L,12,FALSE)</f>
        <v>4134</v>
      </c>
      <c r="AA81" s="111">
        <f>Table14[[#This Row],[Coil Size]]*Table14[[#This Row],[D10]]/1000</f>
        <v>0</v>
      </c>
      <c r="AB81" s="111">
        <f>Table14[[#This Row],[Weight/KYD]]*Table14[[#This Row],[D10]]</f>
        <v>0</v>
      </c>
      <c r="AC81" s="177"/>
      <c r="AD81" s="111">
        <v>100</v>
      </c>
    </row>
    <row r="82" spans="1:30" s="196" customFormat="1" ht="18.5" x14ac:dyDescent="0.45">
      <c r="A82" s="189" t="s">
        <v>30</v>
      </c>
      <c r="B82" s="18">
        <f t="shared" si="2"/>
        <v>73</v>
      </c>
      <c r="C82" s="19" t="s">
        <v>168</v>
      </c>
      <c r="D82" s="19" t="s">
        <v>15</v>
      </c>
      <c r="E82" s="19" t="s">
        <v>19</v>
      </c>
      <c r="F82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"),AD82,Table14[[#This Row],[Cod No]])</f>
        <v>100</v>
      </c>
      <c r="G82" s="20" t="s">
        <v>157</v>
      </c>
      <c r="H82" s="20" t="s">
        <v>169</v>
      </c>
      <c r="I82" s="20"/>
      <c r="J82" s="44">
        <f>Table1[[#This Row],[B]]</f>
        <v>0</v>
      </c>
      <c r="K82" s="44">
        <f>Table1[[#This Row],[BE]]</f>
        <v>0</v>
      </c>
      <c r="L82" s="44">
        <f>Table1[[#This Row],[G]]</f>
        <v>0</v>
      </c>
      <c r="M82" s="44">
        <f>Table1[[#This Row],[J]]</f>
        <v>0</v>
      </c>
      <c r="N82" s="193">
        <f>Table1[[#This Row],[N]]</f>
        <v>0</v>
      </c>
      <c r="O82" s="44">
        <f>Table1[[#This Row],[R]]</f>
        <v>0</v>
      </c>
      <c r="P82" s="44">
        <f>Table1[[#This Row],[V]]</f>
        <v>0</v>
      </c>
      <c r="Q82" s="44">
        <f>Table1[[#This Row],[VJ]]</f>
        <v>0</v>
      </c>
      <c r="R82" s="44">
        <f>Table1[[#This Row],[RN]]</f>
        <v>0</v>
      </c>
      <c r="S82" s="44">
        <f>Table1[[#This Row],[Blank]]</f>
        <v>0</v>
      </c>
      <c r="T82" s="45">
        <f>SUM(Table14[[#This Row],[B]:[Blank]])</f>
        <v>0</v>
      </c>
      <c r="U82" s="116">
        <v>14.108000000000001</v>
      </c>
      <c r="V82" s="118">
        <f t="shared" si="3"/>
        <v>0</v>
      </c>
      <c r="W82" s="111">
        <v>0.87060000000000015</v>
      </c>
      <c r="X82" s="111">
        <f>Table14[[#This Row],[Coil Size]]*Table14[[#This Row],[D10]]/1000*VLOOKUP(Table14[[#This Row],[Navision Code]],'TABULAR PRICE LIST'!A:L,11,FALSE)</f>
        <v>0</v>
      </c>
      <c r="Y82" s="111">
        <f>IFERROR(Table14[[#This Row],[Coil Size]]*Table14[[#This Row],[D10]]/1000*VLOOKUP(Table14[[#This Row],[Navision Code]],'TABULAR PRICE LIST'!A:L,10,FALSE),0)</f>
        <v>0</v>
      </c>
      <c r="Z82" s="111">
        <f>VLOOKUP(C82,'TABULAR PRICE LIST'!$A:$L,12,FALSE)</f>
        <v>1914</v>
      </c>
      <c r="AA82" s="111">
        <f>Table14[[#This Row],[Coil Size]]*Table14[[#This Row],[D10]]/1000</f>
        <v>0</v>
      </c>
      <c r="AB82" s="111">
        <f>Table14[[#This Row],[Weight/KYD]]*Table14[[#This Row],[D10]]</f>
        <v>0</v>
      </c>
      <c r="AC82" s="177"/>
      <c r="AD82" s="111">
        <v>100</v>
      </c>
    </row>
    <row r="83" spans="1:30" s="196" customFormat="1" ht="18.5" x14ac:dyDescent="0.45">
      <c r="A83" s="189" t="s">
        <v>30</v>
      </c>
      <c r="B83" s="18">
        <f t="shared" si="2"/>
        <v>74</v>
      </c>
      <c r="C83" s="19" t="s">
        <v>170</v>
      </c>
      <c r="D83" s="19" t="s">
        <v>15</v>
      </c>
      <c r="E83" s="19" t="s">
        <v>19</v>
      </c>
      <c r="F83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"),AD83,Table14[[#This Row],[Cod No]])</f>
        <v>100</v>
      </c>
      <c r="G83" s="20" t="s">
        <v>157</v>
      </c>
      <c r="H83" s="20" t="s">
        <v>171</v>
      </c>
      <c r="I83" s="20"/>
      <c r="J83" s="44">
        <f>Table1[[#This Row],[B]]</f>
        <v>0</v>
      </c>
      <c r="K83" s="44">
        <f>Table1[[#This Row],[BE]]</f>
        <v>0</v>
      </c>
      <c r="L83" s="44">
        <f>Table1[[#This Row],[G]]</f>
        <v>0</v>
      </c>
      <c r="M83" s="44">
        <f>Table1[[#This Row],[J]]</f>
        <v>0</v>
      </c>
      <c r="N83" s="193">
        <f>Table1[[#This Row],[N]]</f>
        <v>0</v>
      </c>
      <c r="O83" s="44">
        <f>Table1[[#This Row],[R]]</f>
        <v>0</v>
      </c>
      <c r="P83" s="44">
        <f>Table1[[#This Row],[V]]</f>
        <v>0</v>
      </c>
      <c r="Q83" s="44">
        <f>Table1[[#This Row],[VJ]]</f>
        <v>0</v>
      </c>
      <c r="R83" s="44">
        <f>Table1[[#This Row],[RN]]</f>
        <v>0</v>
      </c>
      <c r="S83" s="44">
        <f>Table1[[#This Row],[Blank]]</f>
        <v>0</v>
      </c>
      <c r="T83" s="45">
        <f>SUM(Table14[[#This Row],[B]:[Blank]])</f>
        <v>0</v>
      </c>
      <c r="U83" s="116">
        <v>20.69</v>
      </c>
      <c r="V83" s="118">
        <f t="shared" si="3"/>
        <v>0</v>
      </c>
      <c r="W83" s="111">
        <v>1.3680000000000003</v>
      </c>
      <c r="X83" s="111">
        <f>Table14[[#This Row],[Coil Size]]*Table14[[#This Row],[D10]]/1000*VLOOKUP(Table14[[#This Row],[Navision Code]],'TABULAR PRICE LIST'!A:L,11,FALSE)</f>
        <v>0</v>
      </c>
      <c r="Y83" s="111">
        <f>IFERROR(Table14[[#This Row],[Coil Size]]*Table14[[#This Row],[D10]]/1000*VLOOKUP(Table14[[#This Row],[Navision Code]],'TABULAR PRICE LIST'!A:L,10,FALSE),0)</f>
        <v>0</v>
      </c>
      <c r="Z83" s="111">
        <f>VLOOKUP(C83,'TABULAR PRICE LIST'!$A:$L,12,FALSE)</f>
        <v>2555</v>
      </c>
      <c r="AA83" s="111">
        <f>Table14[[#This Row],[Coil Size]]*Table14[[#This Row],[D10]]/1000</f>
        <v>0</v>
      </c>
      <c r="AB83" s="111">
        <f>Table14[[#This Row],[Weight/KYD]]*Table14[[#This Row],[D10]]</f>
        <v>0</v>
      </c>
      <c r="AC83" s="177"/>
      <c r="AD83" s="111">
        <v>100</v>
      </c>
    </row>
    <row r="84" spans="1:30" s="196" customFormat="1" ht="18.5" x14ac:dyDescent="0.45">
      <c r="A84" s="189" t="s">
        <v>30</v>
      </c>
      <c r="B84" s="18">
        <f t="shared" si="2"/>
        <v>75</v>
      </c>
      <c r="C84" s="19" t="s">
        <v>172</v>
      </c>
      <c r="D84" s="19" t="s">
        <v>15</v>
      </c>
      <c r="E84" s="19" t="s">
        <v>19</v>
      </c>
      <c r="F84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"),AD84,Table14[[#This Row],[Cod No]])</f>
        <v>100</v>
      </c>
      <c r="G84" s="20" t="s">
        <v>157</v>
      </c>
      <c r="H84" s="20" t="s">
        <v>152</v>
      </c>
      <c r="I84" s="20"/>
      <c r="J84" s="44">
        <f>Table1[[#This Row],[B]]</f>
        <v>0</v>
      </c>
      <c r="K84" s="44">
        <f>Table1[[#This Row],[BE]]</f>
        <v>0</v>
      </c>
      <c r="L84" s="44">
        <f>Table1[[#This Row],[G]]</f>
        <v>0</v>
      </c>
      <c r="M84" s="44">
        <f>Table1[[#This Row],[J]]</f>
        <v>0</v>
      </c>
      <c r="N84" s="193">
        <f>Table1[[#This Row],[N]]</f>
        <v>0</v>
      </c>
      <c r="O84" s="44">
        <f>Table1[[#This Row],[R]]</f>
        <v>0</v>
      </c>
      <c r="P84" s="44">
        <f>Table1[[#This Row],[V]]</f>
        <v>0</v>
      </c>
      <c r="Q84" s="44">
        <f>Table1[[#This Row],[VJ]]</f>
        <v>0</v>
      </c>
      <c r="R84" s="44">
        <f>Table1[[#This Row],[RN]]</f>
        <v>0</v>
      </c>
      <c r="S84" s="44">
        <f>Table1[[#This Row],[Blank]]</f>
        <v>0</v>
      </c>
      <c r="T84" s="45">
        <f>SUM(Table14[[#This Row],[B]:[Blank]])</f>
        <v>0</v>
      </c>
      <c r="U84" s="116">
        <v>28.55</v>
      </c>
      <c r="V84" s="118">
        <f t="shared" si="3"/>
        <v>0</v>
      </c>
      <c r="W84" s="111">
        <v>2.04</v>
      </c>
      <c r="X84" s="111">
        <f>Table14[[#This Row],[Coil Size]]*Table14[[#This Row],[D10]]/1000*VLOOKUP(Table14[[#This Row],[Navision Code]],'TABULAR PRICE LIST'!A:L,11,FALSE)</f>
        <v>0</v>
      </c>
      <c r="Y84" s="111">
        <f>IFERROR(Table14[[#This Row],[Coil Size]]*Table14[[#This Row],[D10]]/1000*VLOOKUP(Table14[[#This Row],[Navision Code]],'TABULAR PRICE LIST'!A:L,10,FALSE),0)</f>
        <v>0</v>
      </c>
      <c r="Z84" s="111">
        <f>VLOOKUP(C84,'TABULAR PRICE LIST'!$A:$L,12,FALSE)</f>
        <v>3746</v>
      </c>
      <c r="AA84" s="111">
        <f>Table14[[#This Row],[Coil Size]]*Table14[[#This Row],[D10]]/1000</f>
        <v>0</v>
      </c>
      <c r="AB84" s="111">
        <f>Table14[[#This Row],[Weight/KYD]]*Table14[[#This Row],[D10]]</f>
        <v>0</v>
      </c>
      <c r="AC84" s="177"/>
      <c r="AD84" s="111">
        <v>100</v>
      </c>
    </row>
    <row r="85" spans="1:30" s="196" customFormat="1" ht="18.5" x14ac:dyDescent="0.45">
      <c r="A85" s="189" t="s">
        <v>30</v>
      </c>
      <c r="B85" s="18">
        <f t="shared" si="2"/>
        <v>76</v>
      </c>
      <c r="C85" s="19" t="s">
        <v>173</v>
      </c>
      <c r="D85" s="19" t="s">
        <v>15</v>
      </c>
      <c r="E85" s="19" t="s">
        <v>19</v>
      </c>
      <c r="F85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"),AD85,Table14[[#This Row],[Cod No]])</f>
        <v>100</v>
      </c>
      <c r="G85" s="20" t="s">
        <v>157</v>
      </c>
      <c r="H85" s="20" t="s">
        <v>153</v>
      </c>
      <c r="I85" s="20"/>
      <c r="J85" s="44">
        <f>Table1[[#This Row],[B]]</f>
        <v>0</v>
      </c>
      <c r="K85" s="44">
        <f>Table1[[#This Row],[BE]]</f>
        <v>0</v>
      </c>
      <c r="L85" s="44">
        <f>Table1[[#This Row],[G]]</f>
        <v>0</v>
      </c>
      <c r="M85" s="44">
        <f>Table1[[#This Row],[J]]</f>
        <v>0</v>
      </c>
      <c r="N85" s="193">
        <f>Table1[[#This Row],[N]]</f>
        <v>0</v>
      </c>
      <c r="O85" s="44">
        <f>Table1[[#This Row],[R]]</f>
        <v>0</v>
      </c>
      <c r="P85" s="44">
        <f>Table1[[#This Row],[V]]</f>
        <v>0</v>
      </c>
      <c r="Q85" s="44">
        <f>Table1[[#This Row],[VJ]]</f>
        <v>0</v>
      </c>
      <c r="R85" s="44">
        <f>Table1[[#This Row],[RN]]</f>
        <v>0</v>
      </c>
      <c r="S85" s="44">
        <f>Table1[[#This Row],[Blank]]</f>
        <v>0</v>
      </c>
      <c r="T85" s="45">
        <f>SUM(Table14[[#This Row],[B]:[Blank]])</f>
        <v>0</v>
      </c>
      <c r="U85" s="116">
        <v>38.799999999999997</v>
      </c>
      <c r="V85" s="118">
        <f t="shared" si="3"/>
        <v>0</v>
      </c>
      <c r="W85" s="111">
        <v>1.53</v>
      </c>
      <c r="X85" s="111">
        <f>Table14[[#This Row],[Coil Size]]*Table14[[#This Row],[D10]]/1000*VLOOKUP(Table14[[#This Row],[Navision Code]],'TABULAR PRICE LIST'!A:L,11,FALSE)</f>
        <v>0</v>
      </c>
      <c r="Y85" s="111">
        <f>IFERROR(Table14[[#This Row],[Coil Size]]*Table14[[#This Row],[D10]]/1000*VLOOKUP(Table14[[#This Row],[Navision Code]],'TABULAR PRICE LIST'!A:L,10,FALSE),0)</f>
        <v>0</v>
      </c>
      <c r="Z85" s="111">
        <f>VLOOKUP(C85,'TABULAR PRICE LIST'!$A:$L,12,FALSE)</f>
        <v>5795</v>
      </c>
      <c r="AA85" s="111">
        <f>Table14[[#This Row],[Coil Size]]*Table14[[#This Row],[D10]]/1000</f>
        <v>0</v>
      </c>
      <c r="AB85" s="111">
        <f>Table14[[#This Row],[Weight/KYD]]*Table14[[#This Row],[D10]]</f>
        <v>0</v>
      </c>
      <c r="AC85" s="177"/>
      <c r="AD85" s="111">
        <v>100</v>
      </c>
    </row>
    <row r="86" spans="1:30" s="196" customFormat="1" thickBot="1" x14ac:dyDescent="0.5">
      <c r="A86" s="189" t="s">
        <v>30</v>
      </c>
      <c r="B86" s="18">
        <f t="shared" si="2"/>
        <v>77</v>
      </c>
      <c r="C86" s="24" t="s">
        <v>174</v>
      </c>
      <c r="D86" s="24" t="s">
        <v>15</v>
      </c>
      <c r="E86" s="24" t="s">
        <v>19</v>
      </c>
      <c r="F86" s="24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"),AD86,Table14[[#This Row],[Cod No]])</f>
        <v>100</v>
      </c>
      <c r="G86" s="25" t="s">
        <v>157</v>
      </c>
      <c r="H86" s="25" t="s">
        <v>175</v>
      </c>
      <c r="I86" s="25"/>
      <c r="J86" s="46">
        <f>Table1[[#This Row],[B]]</f>
        <v>0</v>
      </c>
      <c r="K86" s="46">
        <f>Table1[[#This Row],[BE]]</f>
        <v>0</v>
      </c>
      <c r="L86" s="46">
        <f>Table1[[#This Row],[G]]</f>
        <v>0</v>
      </c>
      <c r="M86" s="46">
        <f>Table1[[#This Row],[J]]</f>
        <v>0</v>
      </c>
      <c r="N86" s="195">
        <f>Table1[[#This Row],[N]]</f>
        <v>0</v>
      </c>
      <c r="O86" s="46">
        <f>Table1[[#This Row],[R]]</f>
        <v>0</v>
      </c>
      <c r="P86" s="46">
        <f>Table1[[#This Row],[V]]</f>
        <v>0</v>
      </c>
      <c r="Q86" s="46">
        <f>Table1[[#This Row],[VJ]]</f>
        <v>0</v>
      </c>
      <c r="R86" s="46">
        <f>Table1[[#This Row],[RN]]</f>
        <v>0</v>
      </c>
      <c r="S86" s="46">
        <f>Table1[[#This Row],[Blank]]</f>
        <v>0</v>
      </c>
      <c r="T86" s="47">
        <f>SUM(Table14[[#This Row],[B]:[Blank]])</f>
        <v>0</v>
      </c>
      <c r="U86" s="119">
        <v>37.9</v>
      </c>
      <c r="V86" s="120">
        <f t="shared" si="3"/>
        <v>0</v>
      </c>
      <c r="W86" s="112">
        <v>0.51400000000000001</v>
      </c>
      <c r="X86" s="112" t="e">
        <f>Table14[[#This Row],[Coil Size]]*Table14[[#This Row],[D10]]/1000*VLOOKUP(Table14[[#This Row],[Navision Code]],'TABULAR PRICE LIST'!A:L,11,FALSE)</f>
        <v>#N/A</v>
      </c>
      <c r="Y86" s="112">
        <f>IFERROR(Table14[[#This Row],[Coil Size]]*Table14[[#This Row],[D10]]/1000*VLOOKUP(Table14[[#This Row],[Navision Code]],'TABULAR PRICE LIST'!A:L,10,FALSE),0)</f>
        <v>0</v>
      </c>
      <c r="Z86" s="112" t="e">
        <f>VLOOKUP(C86,'TABULAR PRICE LIST'!$A:$L,12,FALSE)</f>
        <v>#N/A</v>
      </c>
      <c r="AA86" s="112">
        <f>Table14[[#This Row],[Coil Size]]*Table14[[#This Row],[D10]]/1000</f>
        <v>0</v>
      </c>
      <c r="AB86" s="112">
        <f>Table14[[#This Row],[Weight/KYD]]*Table14[[#This Row],[D10]]</f>
        <v>0</v>
      </c>
      <c r="AC86" s="177"/>
      <c r="AD86" s="112">
        <v>100</v>
      </c>
    </row>
    <row r="87" spans="1:30" s="196" customFormat="1" ht="18.5" x14ac:dyDescent="0.45">
      <c r="A87" s="189" t="s">
        <v>30</v>
      </c>
      <c r="B87" s="15">
        <f t="shared" si="2"/>
        <v>78</v>
      </c>
      <c r="C87" s="16" t="s">
        <v>176</v>
      </c>
      <c r="D87" s="16" t="s">
        <v>15</v>
      </c>
      <c r="E87" s="16" t="s">
        <v>19</v>
      </c>
      <c r="F87" s="16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"),AD87,Table14[[#This Row],[Cod No]])</f>
        <v>100</v>
      </c>
      <c r="G87" s="17" t="s">
        <v>177</v>
      </c>
      <c r="H87" s="17" t="s">
        <v>178</v>
      </c>
      <c r="I87" s="17"/>
      <c r="J87" s="42">
        <f>Table1[[#This Row],[B]]</f>
        <v>0</v>
      </c>
      <c r="K87" s="42">
        <f>Table1[[#This Row],[BE]]</f>
        <v>0</v>
      </c>
      <c r="L87" s="190">
        <f>Table1[[#This Row],[G]]</f>
        <v>0</v>
      </c>
      <c r="M87" s="42">
        <f>Table1[[#This Row],[J]]</f>
        <v>0</v>
      </c>
      <c r="N87" s="42">
        <f>Table1[[#This Row],[N]]</f>
        <v>0</v>
      </c>
      <c r="O87" s="42">
        <f>Table1[[#This Row],[R]]</f>
        <v>0</v>
      </c>
      <c r="P87" s="42">
        <f>Table1[[#This Row],[V]]</f>
        <v>0</v>
      </c>
      <c r="Q87" s="42">
        <f>Table1[[#This Row],[VJ]]</f>
        <v>0</v>
      </c>
      <c r="R87" s="42">
        <f>Table1[[#This Row],[RN]]</f>
        <v>0</v>
      </c>
      <c r="S87" s="42">
        <f>Table1[[#This Row],[Blank]]</f>
        <v>0</v>
      </c>
      <c r="T87" s="43">
        <f>SUM(Table14[[#This Row],[B]:[Blank]])</f>
        <v>0</v>
      </c>
      <c r="U87" s="114">
        <v>1.28</v>
      </c>
      <c r="V87" s="115">
        <f t="shared" si="3"/>
        <v>0</v>
      </c>
      <c r="W87" s="191">
        <v>0.86099999999999999</v>
      </c>
      <c r="X87" s="113">
        <f>Table14[[#This Row],[Coil Size]]*Table14[[#This Row],[D10]]/1000*VLOOKUP(Table14[[#This Row],[Navision Code]],'TABULAR PRICE LIST'!A:L,11,FALSE)</f>
        <v>0</v>
      </c>
      <c r="Y87" s="113">
        <f>IFERROR(Table14[[#This Row],[Coil Size]]*Table14[[#This Row],[D10]]/1000*VLOOKUP(Table14[[#This Row],[Navision Code]],'TABULAR PRICE LIST'!A:L,10,FALSE),0)</f>
        <v>0</v>
      </c>
      <c r="Z87" s="113">
        <f>VLOOKUP(C87,'TABULAR PRICE LIST'!$A:$L,12,FALSE)</f>
        <v>205</v>
      </c>
      <c r="AA87" s="113">
        <f>Table14[[#This Row],[Coil Size]]*Table14[[#This Row],[D10]]/1000</f>
        <v>0</v>
      </c>
      <c r="AB87" s="191">
        <f>Table14[[#This Row],[Weight/KYD]]*Table14[[#This Row],[D10]]</f>
        <v>0</v>
      </c>
      <c r="AC87" s="177"/>
      <c r="AD87" s="191">
        <v>100</v>
      </c>
    </row>
    <row r="88" spans="1:30" s="196" customFormat="1" ht="18.5" x14ac:dyDescent="0.45">
      <c r="A88" s="189" t="s">
        <v>30</v>
      </c>
      <c r="B88" s="18">
        <f t="shared" si="2"/>
        <v>79</v>
      </c>
      <c r="C88" s="19" t="s">
        <v>179</v>
      </c>
      <c r="D88" s="19" t="s">
        <v>15</v>
      </c>
      <c r="E88" s="19" t="s">
        <v>19</v>
      </c>
      <c r="F88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"),AD88,Table14[[#This Row],[Cod No]])</f>
        <v>100</v>
      </c>
      <c r="G88" s="20" t="s">
        <v>177</v>
      </c>
      <c r="H88" s="20" t="s">
        <v>180</v>
      </c>
      <c r="I88" s="20"/>
      <c r="J88" s="44">
        <f>Table1[[#This Row],[B]]</f>
        <v>0</v>
      </c>
      <c r="K88" s="44">
        <f>Table1[[#This Row],[BE]]</f>
        <v>0</v>
      </c>
      <c r="L88" s="193">
        <f>Table1[[#This Row],[G]]</f>
        <v>0</v>
      </c>
      <c r="M88" s="44">
        <f>Table1[[#This Row],[J]]</f>
        <v>0</v>
      </c>
      <c r="N88" s="44">
        <f>Table1[[#This Row],[N]]</f>
        <v>0</v>
      </c>
      <c r="O88" s="44">
        <f>Table1[[#This Row],[R]]</f>
        <v>0</v>
      </c>
      <c r="P88" s="44">
        <f>Table1[[#This Row],[V]]</f>
        <v>0</v>
      </c>
      <c r="Q88" s="44">
        <f>Table1[[#This Row],[VJ]]</f>
        <v>0</v>
      </c>
      <c r="R88" s="44">
        <f>Table1[[#This Row],[RN]]</f>
        <v>0</v>
      </c>
      <c r="S88" s="44">
        <f>Table1[[#This Row],[Blank]]</f>
        <v>0</v>
      </c>
      <c r="T88" s="45">
        <f>SUM(Table14[[#This Row],[B]:[Blank]])</f>
        <v>0</v>
      </c>
      <c r="U88" s="116">
        <v>1.964</v>
      </c>
      <c r="V88" s="118">
        <f t="shared" si="3"/>
        <v>0</v>
      </c>
      <c r="W88" s="111">
        <v>1.2030000000000001</v>
      </c>
      <c r="X88" s="111">
        <f>Table14[[#This Row],[Coil Size]]*Table14[[#This Row],[D10]]/1000*VLOOKUP(Table14[[#This Row],[Navision Code]],'TABULAR PRICE LIST'!A:L,11,FALSE)</f>
        <v>0</v>
      </c>
      <c r="Y88" s="111">
        <f>IFERROR(Table14[[#This Row],[Coil Size]]*Table14[[#This Row],[D10]]/1000*VLOOKUP(Table14[[#This Row],[Navision Code]],'TABULAR PRICE LIST'!A:L,10,FALSE),0)</f>
        <v>0</v>
      </c>
      <c r="Z88" s="111">
        <f>VLOOKUP(C88,'TABULAR PRICE LIST'!$A:$L,12,FALSE)</f>
        <v>345</v>
      </c>
      <c r="AA88" s="111">
        <f>Table14[[#This Row],[Coil Size]]*Table14[[#This Row],[D10]]/1000</f>
        <v>0</v>
      </c>
      <c r="AB88" s="111">
        <f>Table14[[#This Row],[Weight/KYD]]*Table14[[#This Row],[D10]]</f>
        <v>0</v>
      </c>
      <c r="AC88" s="177"/>
      <c r="AD88" s="111">
        <v>100</v>
      </c>
    </row>
    <row r="89" spans="1:30" s="196" customFormat="1" ht="18.5" x14ac:dyDescent="0.45">
      <c r="A89" s="189" t="s">
        <v>30</v>
      </c>
      <c r="B89" s="18">
        <f t="shared" si="2"/>
        <v>80</v>
      </c>
      <c r="C89" s="19" t="s">
        <v>181</v>
      </c>
      <c r="D89" s="19" t="s">
        <v>15</v>
      </c>
      <c r="E89" s="19" t="s">
        <v>19</v>
      </c>
      <c r="F89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"),AD89,Table14[[#This Row],[Cod No]])</f>
        <v>100</v>
      </c>
      <c r="G89" s="20" t="s">
        <v>177</v>
      </c>
      <c r="H89" s="20" t="s">
        <v>182</v>
      </c>
      <c r="I89" s="20"/>
      <c r="J89" s="44">
        <f>Table1[[#This Row],[B]]</f>
        <v>0</v>
      </c>
      <c r="K89" s="44">
        <f>Table1[[#This Row],[BE]]</f>
        <v>0</v>
      </c>
      <c r="L89" s="193">
        <f>Table1[[#This Row],[G]]</f>
        <v>0</v>
      </c>
      <c r="M89" s="44">
        <f>Table1[[#This Row],[J]]</f>
        <v>0</v>
      </c>
      <c r="N89" s="44">
        <f>Table1[[#This Row],[N]]</f>
        <v>0</v>
      </c>
      <c r="O89" s="44">
        <f>Table1[[#This Row],[R]]</f>
        <v>0</v>
      </c>
      <c r="P89" s="44">
        <f>Table1[[#This Row],[V]]</f>
        <v>0</v>
      </c>
      <c r="Q89" s="44">
        <f>Table1[[#This Row],[VJ]]</f>
        <v>0</v>
      </c>
      <c r="R89" s="44">
        <f>Table1[[#This Row],[RN]]</f>
        <v>0</v>
      </c>
      <c r="S89" s="44">
        <f>Table1[[#This Row],[Blank]]</f>
        <v>0</v>
      </c>
      <c r="T89" s="45">
        <f>SUM(Table14[[#This Row],[B]:[Blank]])</f>
        <v>0</v>
      </c>
      <c r="U89" s="116">
        <v>2.5</v>
      </c>
      <c r="V89" s="118">
        <f t="shared" si="3"/>
        <v>0</v>
      </c>
      <c r="W89" s="111">
        <v>1.546</v>
      </c>
      <c r="X89" s="111">
        <f>Table14[[#This Row],[Coil Size]]*Table14[[#This Row],[D10]]/1000*VLOOKUP(Table14[[#This Row],[Navision Code]],'TABULAR PRICE LIST'!A:L,11,FALSE)</f>
        <v>0</v>
      </c>
      <c r="Y89" s="111">
        <f>IFERROR(Table14[[#This Row],[Coil Size]]*Table14[[#This Row],[D10]]/1000*VLOOKUP(Table14[[#This Row],[Navision Code]],'TABULAR PRICE LIST'!A:L,10,FALSE),0)</f>
        <v>0</v>
      </c>
      <c r="Z89" s="111">
        <f>VLOOKUP(C89,'TABULAR PRICE LIST'!$A:$L,12,FALSE)</f>
        <v>483</v>
      </c>
      <c r="AA89" s="111">
        <f>Table14[[#This Row],[Coil Size]]*Table14[[#This Row],[D10]]/1000</f>
        <v>0</v>
      </c>
      <c r="AB89" s="111">
        <f>Table14[[#This Row],[Weight/KYD]]*Table14[[#This Row],[D10]]</f>
        <v>0</v>
      </c>
      <c r="AC89" s="177"/>
      <c r="AD89" s="111">
        <v>100</v>
      </c>
    </row>
    <row r="90" spans="1:30" s="196" customFormat="1" ht="18.5" x14ac:dyDescent="0.45">
      <c r="A90" s="189" t="s">
        <v>30</v>
      </c>
      <c r="B90" s="18">
        <f t="shared" si="2"/>
        <v>81</v>
      </c>
      <c r="C90" s="19" t="s">
        <v>183</v>
      </c>
      <c r="D90" s="19" t="s">
        <v>15</v>
      </c>
      <c r="E90" s="19" t="s">
        <v>19</v>
      </c>
      <c r="F90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"),AD90,Table14[[#This Row],[Cod No]])</f>
        <v>100</v>
      </c>
      <c r="G90" s="20" t="s">
        <v>177</v>
      </c>
      <c r="H90" s="20" t="s">
        <v>184</v>
      </c>
      <c r="I90" s="20"/>
      <c r="J90" s="44">
        <f>Table1[[#This Row],[B]]</f>
        <v>0</v>
      </c>
      <c r="K90" s="44">
        <f>Table1[[#This Row],[BE]]</f>
        <v>0</v>
      </c>
      <c r="L90" s="193">
        <f>Table1[[#This Row],[G]]</f>
        <v>0</v>
      </c>
      <c r="M90" s="44">
        <f>Table1[[#This Row],[J]]</f>
        <v>0</v>
      </c>
      <c r="N90" s="44">
        <f>Table1[[#This Row],[N]]</f>
        <v>0</v>
      </c>
      <c r="O90" s="44">
        <f>Table1[[#This Row],[R]]</f>
        <v>0</v>
      </c>
      <c r="P90" s="44">
        <f>Table1[[#This Row],[V]]</f>
        <v>0</v>
      </c>
      <c r="Q90" s="44">
        <f>Table1[[#This Row],[VJ]]</f>
        <v>0</v>
      </c>
      <c r="R90" s="44">
        <f>Table1[[#This Row],[RN]]</f>
        <v>0</v>
      </c>
      <c r="S90" s="44">
        <f>Table1[[#This Row],[Blank]]</f>
        <v>0</v>
      </c>
      <c r="T90" s="45">
        <f>SUM(Table14[[#This Row],[B]:[Blank]])</f>
        <v>0</v>
      </c>
      <c r="U90" s="116">
        <v>3.105</v>
      </c>
      <c r="V90" s="118">
        <f t="shared" si="3"/>
        <v>0</v>
      </c>
      <c r="W90" s="111">
        <v>1.889</v>
      </c>
      <c r="X90" s="111">
        <f>Table14[[#This Row],[Coil Size]]*Table14[[#This Row],[D10]]/1000*VLOOKUP(Table14[[#This Row],[Navision Code]],'TABULAR PRICE LIST'!A:L,11,FALSE)</f>
        <v>0</v>
      </c>
      <c r="Y90" s="111">
        <f>IFERROR(Table14[[#This Row],[Coil Size]]*Table14[[#This Row],[D10]]/1000*VLOOKUP(Table14[[#This Row],[Navision Code]],'TABULAR PRICE LIST'!A:L,10,FALSE),0)</f>
        <v>0</v>
      </c>
      <c r="Z90" s="111">
        <f>VLOOKUP(C90,'TABULAR PRICE LIST'!$A:$L,12,FALSE)</f>
        <v>554</v>
      </c>
      <c r="AA90" s="111">
        <f>Table14[[#This Row],[Coil Size]]*Table14[[#This Row],[D10]]/1000</f>
        <v>0</v>
      </c>
      <c r="AB90" s="111">
        <f>Table14[[#This Row],[Weight/KYD]]*Table14[[#This Row],[D10]]</f>
        <v>0</v>
      </c>
      <c r="AC90" s="177"/>
      <c r="AD90" s="111">
        <v>100</v>
      </c>
    </row>
    <row r="91" spans="1:30" s="196" customFormat="1" ht="18.5" x14ac:dyDescent="0.45">
      <c r="A91" s="189" t="s">
        <v>30</v>
      </c>
      <c r="B91" s="18">
        <f t="shared" si="2"/>
        <v>82</v>
      </c>
      <c r="C91" s="19" t="s">
        <v>185</v>
      </c>
      <c r="D91" s="19" t="s">
        <v>15</v>
      </c>
      <c r="E91" s="19" t="s">
        <v>19</v>
      </c>
      <c r="F91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"),AD91,Table14[[#This Row],[Cod No]])</f>
        <v>100</v>
      </c>
      <c r="G91" s="20" t="s">
        <v>177</v>
      </c>
      <c r="H91" s="20" t="s">
        <v>186</v>
      </c>
      <c r="I91" s="20"/>
      <c r="J91" s="44">
        <f>Table1[[#This Row],[B]]</f>
        <v>0</v>
      </c>
      <c r="K91" s="44">
        <f>Table1[[#This Row],[BE]]</f>
        <v>0</v>
      </c>
      <c r="L91" s="193">
        <f>Table1[[#This Row],[G]]</f>
        <v>0</v>
      </c>
      <c r="M91" s="44">
        <f>Table1[[#This Row],[J]]</f>
        <v>0</v>
      </c>
      <c r="N91" s="44">
        <f>Table1[[#This Row],[N]]</f>
        <v>0</v>
      </c>
      <c r="O91" s="44">
        <f>Table1[[#This Row],[R]]</f>
        <v>0</v>
      </c>
      <c r="P91" s="44">
        <f>Table1[[#This Row],[V]]</f>
        <v>0</v>
      </c>
      <c r="Q91" s="44">
        <f>Table1[[#This Row],[VJ]]</f>
        <v>0</v>
      </c>
      <c r="R91" s="44">
        <f>Table1[[#This Row],[RN]]</f>
        <v>0</v>
      </c>
      <c r="S91" s="44">
        <f>Table1[[#This Row],[Blank]]</f>
        <v>0</v>
      </c>
      <c r="T91" s="45">
        <f>SUM(Table14[[#This Row],[B]:[Blank]])</f>
        <v>0</v>
      </c>
      <c r="U91" s="116">
        <v>3.8039999999999998</v>
      </c>
      <c r="V91" s="118">
        <f t="shared" si="3"/>
        <v>0</v>
      </c>
      <c r="W91" s="111">
        <v>2.2320000000000002</v>
      </c>
      <c r="X91" s="111">
        <f>Table14[[#This Row],[Coil Size]]*Table14[[#This Row],[D10]]/1000*VLOOKUP(Table14[[#This Row],[Navision Code]],'TABULAR PRICE LIST'!A:L,11,FALSE)</f>
        <v>0</v>
      </c>
      <c r="Y91" s="111">
        <f>IFERROR(Table14[[#This Row],[Coil Size]]*Table14[[#This Row],[D10]]/1000*VLOOKUP(Table14[[#This Row],[Navision Code]],'TABULAR PRICE LIST'!A:L,10,FALSE),0)</f>
        <v>0</v>
      </c>
      <c r="Z91" s="111">
        <f>VLOOKUP(C91,'TABULAR PRICE LIST'!$A:$L,12,FALSE)</f>
        <v>713</v>
      </c>
      <c r="AA91" s="111">
        <f>Table14[[#This Row],[Coil Size]]*Table14[[#This Row],[D10]]/1000</f>
        <v>0</v>
      </c>
      <c r="AB91" s="111">
        <f>Table14[[#This Row],[Weight/KYD]]*Table14[[#This Row],[D10]]</f>
        <v>0</v>
      </c>
      <c r="AC91" s="177"/>
      <c r="AD91" s="111">
        <v>100</v>
      </c>
    </row>
    <row r="92" spans="1:30" s="196" customFormat="1" ht="18.5" x14ac:dyDescent="0.45">
      <c r="A92" s="189" t="s">
        <v>30</v>
      </c>
      <c r="B92" s="18">
        <f t="shared" si="2"/>
        <v>83</v>
      </c>
      <c r="C92" s="19" t="s">
        <v>187</v>
      </c>
      <c r="D92" s="19" t="s">
        <v>15</v>
      </c>
      <c r="E92" s="19" t="s">
        <v>19</v>
      </c>
      <c r="F92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"),AD92,Table14[[#This Row],[Cod No]])</f>
        <v>100</v>
      </c>
      <c r="G92" s="20" t="s">
        <v>177</v>
      </c>
      <c r="H92" s="20" t="s">
        <v>188</v>
      </c>
      <c r="I92" s="20"/>
      <c r="J92" s="44">
        <f>Table1[[#This Row],[B]]</f>
        <v>0</v>
      </c>
      <c r="K92" s="44">
        <f>Table1[[#This Row],[BE]]</f>
        <v>0</v>
      </c>
      <c r="L92" s="193">
        <f>Table1[[#This Row],[G]]</f>
        <v>0</v>
      </c>
      <c r="M92" s="44">
        <f>Table1[[#This Row],[J]]</f>
        <v>0</v>
      </c>
      <c r="N92" s="44">
        <f>Table1[[#This Row],[N]]</f>
        <v>0</v>
      </c>
      <c r="O92" s="44">
        <f>Table1[[#This Row],[R]]</f>
        <v>0</v>
      </c>
      <c r="P92" s="44">
        <f>Table1[[#This Row],[V]]</f>
        <v>0</v>
      </c>
      <c r="Q92" s="44">
        <f>Table1[[#This Row],[VJ]]</f>
        <v>0</v>
      </c>
      <c r="R92" s="44">
        <f>Table1[[#This Row],[RN]]</f>
        <v>0</v>
      </c>
      <c r="S92" s="44">
        <f>Table1[[#This Row],[Blank]]</f>
        <v>0</v>
      </c>
      <c r="T92" s="45">
        <f>SUM(Table14[[#This Row],[B]:[Blank]])</f>
        <v>0</v>
      </c>
      <c r="U92" s="116">
        <v>4.45</v>
      </c>
      <c r="V92" s="118">
        <f t="shared" si="3"/>
        <v>0</v>
      </c>
      <c r="W92" s="111">
        <v>2.5750000000000002</v>
      </c>
      <c r="X92" s="111">
        <f>Table14[[#This Row],[Coil Size]]*Table14[[#This Row],[D10]]/1000*VLOOKUP(Table14[[#This Row],[Navision Code]],'TABULAR PRICE LIST'!A:L,11,FALSE)</f>
        <v>0</v>
      </c>
      <c r="Y92" s="111">
        <f>IFERROR(Table14[[#This Row],[Coil Size]]*Table14[[#This Row],[D10]]/1000*VLOOKUP(Table14[[#This Row],[Navision Code]],'TABULAR PRICE LIST'!A:L,10,FALSE),0)</f>
        <v>0</v>
      </c>
      <c r="Z92" s="111">
        <f>VLOOKUP(C92,'TABULAR PRICE LIST'!$A:$L,12,FALSE)</f>
        <v>829</v>
      </c>
      <c r="AA92" s="111">
        <f>Table14[[#This Row],[Coil Size]]*Table14[[#This Row],[D10]]/1000</f>
        <v>0</v>
      </c>
      <c r="AB92" s="111">
        <f>Table14[[#This Row],[Weight/KYD]]*Table14[[#This Row],[D10]]</f>
        <v>0</v>
      </c>
      <c r="AC92" s="177"/>
      <c r="AD92" s="111">
        <v>100</v>
      </c>
    </row>
    <row r="93" spans="1:30" s="196" customFormat="1" ht="18.5" x14ac:dyDescent="0.45">
      <c r="A93" s="189" t="s">
        <v>30</v>
      </c>
      <c r="B93" s="18">
        <f t="shared" si="2"/>
        <v>84</v>
      </c>
      <c r="C93" s="19" t="s">
        <v>189</v>
      </c>
      <c r="D93" s="19" t="s">
        <v>15</v>
      </c>
      <c r="E93" s="19" t="s">
        <v>19</v>
      </c>
      <c r="F93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"),AD93,Table14[[#This Row],[Cod No]])</f>
        <v>100</v>
      </c>
      <c r="G93" s="20" t="s">
        <v>177</v>
      </c>
      <c r="H93" s="20" t="s">
        <v>190</v>
      </c>
      <c r="I93" s="20"/>
      <c r="J93" s="44">
        <f>Table1[[#This Row],[B]]</f>
        <v>0</v>
      </c>
      <c r="K93" s="44">
        <f>Table1[[#This Row],[BE]]</f>
        <v>0</v>
      </c>
      <c r="L93" s="193">
        <f>Table1[[#This Row],[G]]</f>
        <v>0</v>
      </c>
      <c r="M93" s="44">
        <f>Table1[[#This Row],[J]]</f>
        <v>0</v>
      </c>
      <c r="N93" s="44">
        <f>Table1[[#This Row],[N]]</f>
        <v>0</v>
      </c>
      <c r="O93" s="44">
        <f>Table1[[#This Row],[R]]</f>
        <v>0</v>
      </c>
      <c r="P93" s="44">
        <f>Table1[[#This Row],[V]]</f>
        <v>0</v>
      </c>
      <c r="Q93" s="44">
        <f>Table1[[#This Row],[VJ]]</f>
        <v>0</v>
      </c>
      <c r="R93" s="44">
        <f>Table1[[#This Row],[RN]]</f>
        <v>0</v>
      </c>
      <c r="S93" s="44">
        <f>Table1[[#This Row],[Blank]]</f>
        <v>0</v>
      </c>
      <c r="T93" s="45">
        <f>SUM(Table14[[#This Row],[B]:[Blank]])</f>
        <v>0</v>
      </c>
      <c r="U93" s="116">
        <v>5.0599999999999996</v>
      </c>
      <c r="V93" s="118">
        <f t="shared" si="3"/>
        <v>0</v>
      </c>
      <c r="W93" s="111">
        <v>2.9169999999999998</v>
      </c>
      <c r="X93" s="111" t="e">
        <f>Table14[[#This Row],[Coil Size]]*Table14[[#This Row],[D10]]/1000*VLOOKUP(Table14[[#This Row],[Navision Code]],'TABULAR PRICE LIST'!A:L,11,FALSE)</f>
        <v>#N/A</v>
      </c>
      <c r="Y93" s="111">
        <f>IFERROR(Table14[[#This Row],[Coil Size]]*Table14[[#This Row],[D10]]/1000*VLOOKUP(Table14[[#This Row],[Navision Code]],'TABULAR PRICE LIST'!A:L,10,FALSE),0)</f>
        <v>0</v>
      </c>
      <c r="Z93" s="111" t="e">
        <f>VLOOKUP(C93,'TABULAR PRICE LIST'!$A:$L,12,FALSE)</f>
        <v>#N/A</v>
      </c>
      <c r="AA93" s="111">
        <f>Table14[[#This Row],[Coil Size]]*Table14[[#This Row],[D10]]/1000</f>
        <v>0</v>
      </c>
      <c r="AB93" s="111">
        <f>Table14[[#This Row],[Weight/KYD]]*Table14[[#This Row],[D10]]</f>
        <v>0</v>
      </c>
      <c r="AC93" s="177"/>
      <c r="AD93" s="111">
        <v>100</v>
      </c>
    </row>
    <row r="94" spans="1:30" s="196" customFormat="1" ht="18.5" x14ac:dyDescent="0.45">
      <c r="A94" s="189" t="s">
        <v>30</v>
      </c>
      <c r="B94" s="18">
        <f t="shared" si="2"/>
        <v>85</v>
      </c>
      <c r="C94" s="19" t="s">
        <v>191</v>
      </c>
      <c r="D94" s="19" t="s">
        <v>15</v>
      </c>
      <c r="E94" s="19" t="s">
        <v>19</v>
      </c>
      <c r="F94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"),AD94,Table14[[#This Row],[Cod No]])</f>
        <v>100</v>
      </c>
      <c r="G94" s="20" t="s">
        <v>177</v>
      </c>
      <c r="H94" s="20" t="s">
        <v>192</v>
      </c>
      <c r="I94" s="20"/>
      <c r="J94" s="44">
        <f>Table1[[#This Row],[B]]</f>
        <v>0</v>
      </c>
      <c r="K94" s="44">
        <f>Table1[[#This Row],[BE]]</f>
        <v>0</v>
      </c>
      <c r="L94" s="193">
        <f>Table1[[#This Row],[G]]</f>
        <v>0</v>
      </c>
      <c r="M94" s="44">
        <f>Table1[[#This Row],[J]]</f>
        <v>0</v>
      </c>
      <c r="N94" s="44">
        <f>Table1[[#This Row],[N]]</f>
        <v>0</v>
      </c>
      <c r="O94" s="44">
        <f>Table1[[#This Row],[R]]</f>
        <v>0</v>
      </c>
      <c r="P94" s="44">
        <f>Table1[[#This Row],[V]]</f>
        <v>0</v>
      </c>
      <c r="Q94" s="44">
        <f>Table1[[#This Row],[VJ]]</f>
        <v>0</v>
      </c>
      <c r="R94" s="44">
        <f>Table1[[#This Row],[RN]]</f>
        <v>0</v>
      </c>
      <c r="S94" s="44">
        <f>Table1[[#This Row],[Blank]]</f>
        <v>0</v>
      </c>
      <c r="T94" s="45">
        <f>SUM(Table14[[#This Row],[B]:[Blank]])</f>
        <v>0</v>
      </c>
      <c r="U94" s="116">
        <v>5.48</v>
      </c>
      <c r="V94" s="118">
        <f t="shared" si="3"/>
        <v>0</v>
      </c>
      <c r="W94" s="111">
        <v>3.6030000000000002</v>
      </c>
      <c r="X94" s="111">
        <f>Table14[[#This Row],[Coil Size]]*Table14[[#This Row],[D10]]/1000*VLOOKUP(Table14[[#This Row],[Navision Code]],'TABULAR PRICE LIST'!A:L,11,FALSE)</f>
        <v>0</v>
      </c>
      <c r="Y94" s="111">
        <f>IFERROR(Table14[[#This Row],[Coil Size]]*Table14[[#This Row],[D10]]/1000*VLOOKUP(Table14[[#This Row],[Navision Code]],'TABULAR PRICE LIST'!A:L,10,FALSE),0)</f>
        <v>0</v>
      </c>
      <c r="Z94" s="111">
        <f>VLOOKUP(C94,'TABULAR PRICE LIST'!$A:$L,12,FALSE)</f>
        <v>1041</v>
      </c>
      <c r="AA94" s="111">
        <f>Table14[[#This Row],[Coil Size]]*Table14[[#This Row],[D10]]/1000</f>
        <v>0</v>
      </c>
      <c r="AB94" s="111">
        <f>Table14[[#This Row],[Weight/KYD]]*Table14[[#This Row],[D10]]</f>
        <v>0</v>
      </c>
      <c r="AC94" s="177"/>
      <c r="AD94" s="111">
        <v>100</v>
      </c>
    </row>
    <row r="95" spans="1:30" s="196" customFormat="1" ht="18.5" x14ac:dyDescent="0.45">
      <c r="A95" s="189" t="s">
        <v>30</v>
      </c>
      <c r="B95" s="18">
        <f t="shared" si="2"/>
        <v>86</v>
      </c>
      <c r="C95" s="19" t="s">
        <v>193</v>
      </c>
      <c r="D95" s="19" t="s">
        <v>15</v>
      </c>
      <c r="E95" s="19" t="s">
        <v>19</v>
      </c>
      <c r="F95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"),AD95,Table14[[#This Row],[Cod No]])</f>
        <v>100</v>
      </c>
      <c r="G95" s="20" t="s">
        <v>177</v>
      </c>
      <c r="H95" s="20" t="s">
        <v>194</v>
      </c>
      <c r="I95" s="20"/>
      <c r="J95" s="44">
        <f>Table1[[#This Row],[B]]</f>
        <v>0</v>
      </c>
      <c r="K95" s="44">
        <f>Table1[[#This Row],[BE]]</f>
        <v>0</v>
      </c>
      <c r="L95" s="193">
        <f>Table1[[#This Row],[G]]</f>
        <v>0</v>
      </c>
      <c r="M95" s="44">
        <f>Table1[[#This Row],[J]]</f>
        <v>0</v>
      </c>
      <c r="N95" s="44">
        <f>Table1[[#This Row],[N]]</f>
        <v>0</v>
      </c>
      <c r="O95" s="44">
        <f>Table1[[#This Row],[R]]</f>
        <v>0</v>
      </c>
      <c r="P95" s="44">
        <f>Table1[[#This Row],[V]]</f>
        <v>0</v>
      </c>
      <c r="Q95" s="44">
        <f>Table1[[#This Row],[VJ]]</f>
        <v>0</v>
      </c>
      <c r="R95" s="44">
        <f>Table1[[#This Row],[RN]]</f>
        <v>0</v>
      </c>
      <c r="S95" s="44">
        <f>Table1[[#This Row],[Blank]]</f>
        <v>0</v>
      </c>
      <c r="T95" s="45">
        <f>SUM(Table14[[#This Row],[B]:[Blank]])</f>
        <v>0</v>
      </c>
      <c r="U95" s="116">
        <v>7.05</v>
      </c>
      <c r="V95" s="118">
        <f t="shared" si="3"/>
        <v>0</v>
      </c>
      <c r="W95" s="111">
        <v>5.3170000000000002</v>
      </c>
      <c r="X95" s="111">
        <f>Table14[[#This Row],[Coil Size]]*Table14[[#This Row],[D10]]/1000*VLOOKUP(Table14[[#This Row],[Navision Code]],'TABULAR PRICE LIST'!A:L,11,FALSE)</f>
        <v>0</v>
      </c>
      <c r="Y95" s="111">
        <f>IFERROR(Table14[[#This Row],[Coil Size]]*Table14[[#This Row],[D10]]/1000*VLOOKUP(Table14[[#This Row],[Navision Code]],'TABULAR PRICE LIST'!A:L,10,FALSE),0)</f>
        <v>0</v>
      </c>
      <c r="Z95" s="111">
        <f>VLOOKUP(C95,'TABULAR PRICE LIST'!$A:$L,12,FALSE)</f>
        <v>1284</v>
      </c>
      <c r="AA95" s="111">
        <f>Table14[[#This Row],[Coil Size]]*Table14[[#This Row],[D10]]/1000</f>
        <v>0</v>
      </c>
      <c r="AB95" s="111">
        <f>Table14[[#This Row],[Weight/KYD]]*Table14[[#This Row],[D10]]</f>
        <v>0</v>
      </c>
      <c r="AC95" s="177"/>
      <c r="AD95" s="111">
        <v>100</v>
      </c>
    </row>
    <row r="96" spans="1:30" ht="18.5" x14ac:dyDescent="0.45">
      <c r="A96" s="189" t="s">
        <v>30</v>
      </c>
      <c r="B96" s="18">
        <f t="shared" si="2"/>
        <v>87</v>
      </c>
      <c r="C96" s="19" t="s">
        <v>195</v>
      </c>
      <c r="D96" s="19" t="s">
        <v>15</v>
      </c>
      <c r="E96" s="19" t="s">
        <v>19</v>
      </c>
      <c r="F96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"),AD96,Table14[[#This Row],[Cod No]])</f>
        <v>100</v>
      </c>
      <c r="G96" s="20" t="s">
        <v>177</v>
      </c>
      <c r="H96" s="20" t="s">
        <v>196</v>
      </c>
      <c r="I96" s="20"/>
      <c r="J96" s="44">
        <f>Table1[[#This Row],[B]]</f>
        <v>0</v>
      </c>
      <c r="K96" s="44">
        <f>Table1[[#This Row],[BE]]</f>
        <v>0</v>
      </c>
      <c r="L96" s="193">
        <f>Table1[[#This Row],[G]]</f>
        <v>0</v>
      </c>
      <c r="M96" s="44">
        <f>Table1[[#This Row],[J]]</f>
        <v>0</v>
      </c>
      <c r="N96" s="44">
        <f>Table1[[#This Row],[N]]</f>
        <v>0</v>
      </c>
      <c r="O96" s="44">
        <f>Table1[[#This Row],[R]]</f>
        <v>0</v>
      </c>
      <c r="P96" s="44">
        <f>Table1[[#This Row],[V]]</f>
        <v>0</v>
      </c>
      <c r="Q96" s="44">
        <f>Table1[[#This Row],[VJ]]</f>
        <v>0</v>
      </c>
      <c r="R96" s="44">
        <f>Table1[[#This Row],[RN]]</f>
        <v>0</v>
      </c>
      <c r="S96" s="44">
        <f>Table1[[#This Row],[Blank]]</f>
        <v>0</v>
      </c>
      <c r="T96" s="45">
        <f>SUM(Table14[[#This Row],[B]:[Blank]])</f>
        <v>0</v>
      </c>
      <c r="U96" s="116">
        <v>9.25</v>
      </c>
      <c r="V96" s="118">
        <f t="shared" si="3"/>
        <v>0</v>
      </c>
      <c r="W96" s="111">
        <v>7.0309999999999997</v>
      </c>
      <c r="X96" s="111">
        <f>Table14[[#This Row],[Coil Size]]*Table14[[#This Row],[D10]]/1000*VLOOKUP(Table14[[#This Row],[Navision Code]],'TABULAR PRICE LIST'!A:L,11,FALSE)</f>
        <v>0</v>
      </c>
      <c r="Y96" s="111">
        <f>IFERROR(Table14[[#This Row],[Coil Size]]*Table14[[#This Row],[D10]]/1000*VLOOKUP(Table14[[#This Row],[Navision Code]],'TABULAR PRICE LIST'!A:L,10,FALSE),0)</f>
        <v>0</v>
      </c>
      <c r="Z96" s="111">
        <f>VLOOKUP(C96,'TABULAR PRICE LIST'!$A:$L,12,FALSE)</f>
        <v>1999</v>
      </c>
      <c r="AA96" s="111">
        <f>Table14[[#This Row],[Coil Size]]*Table14[[#This Row],[D10]]/1000</f>
        <v>0</v>
      </c>
      <c r="AB96" s="111">
        <f>Table14[[#This Row],[Weight/KYD]]*Table14[[#This Row],[D10]]</f>
        <v>0</v>
      </c>
      <c r="AC96" s="177"/>
      <c r="AD96" s="111">
        <v>100</v>
      </c>
    </row>
    <row r="97" spans="1:30" ht="18.5" x14ac:dyDescent="0.45">
      <c r="A97" s="189" t="s">
        <v>30</v>
      </c>
      <c r="B97" s="18">
        <f t="shared" si="2"/>
        <v>88</v>
      </c>
      <c r="C97" s="19" t="s">
        <v>197</v>
      </c>
      <c r="D97" s="19" t="s">
        <v>15</v>
      </c>
      <c r="E97" s="19" t="s">
        <v>19</v>
      </c>
      <c r="F97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"),AD97,Table14[[#This Row],[Cod No]])</f>
        <v>100</v>
      </c>
      <c r="G97" s="20" t="s">
        <v>177</v>
      </c>
      <c r="H97" s="20" t="s">
        <v>198</v>
      </c>
      <c r="I97" s="20"/>
      <c r="J97" s="44">
        <f>Table1[[#This Row],[B]]</f>
        <v>0</v>
      </c>
      <c r="K97" s="44">
        <f>Table1[[#This Row],[BE]]</f>
        <v>0</v>
      </c>
      <c r="L97" s="193">
        <f>Table1[[#This Row],[G]]</f>
        <v>0</v>
      </c>
      <c r="M97" s="44">
        <f>Table1[[#This Row],[J]]</f>
        <v>0</v>
      </c>
      <c r="N97" s="44">
        <f>Table1[[#This Row],[N]]</f>
        <v>0</v>
      </c>
      <c r="O97" s="44">
        <f>Table1[[#This Row],[R]]</f>
        <v>0</v>
      </c>
      <c r="P97" s="44">
        <f>Table1[[#This Row],[V]]</f>
        <v>0</v>
      </c>
      <c r="Q97" s="44">
        <f>Table1[[#This Row],[VJ]]</f>
        <v>0</v>
      </c>
      <c r="R97" s="44">
        <f>Table1[[#This Row],[RN]]</f>
        <v>0</v>
      </c>
      <c r="S97" s="44">
        <f>Table1[[#This Row],[Blank]]</f>
        <v>0</v>
      </c>
      <c r="T97" s="45">
        <f>SUM(Table14[[#This Row],[B]:[Blank]])</f>
        <v>0</v>
      </c>
      <c r="U97" s="116">
        <v>12.2</v>
      </c>
      <c r="V97" s="118">
        <f t="shared" si="3"/>
        <v>0</v>
      </c>
      <c r="W97" s="111">
        <v>8.7449999999999992</v>
      </c>
      <c r="X97" s="111">
        <f>Table14[[#This Row],[Coil Size]]*Table14[[#This Row],[D10]]/1000*VLOOKUP(Table14[[#This Row],[Navision Code]],'TABULAR PRICE LIST'!A:L,11,FALSE)</f>
        <v>0</v>
      </c>
      <c r="Y97" s="111">
        <f>IFERROR(Table14[[#This Row],[Coil Size]]*Table14[[#This Row],[D10]]/1000*VLOOKUP(Table14[[#This Row],[Navision Code]],'TABULAR PRICE LIST'!A:L,10,FALSE),0)</f>
        <v>0</v>
      </c>
      <c r="Z97" s="111">
        <f>VLOOKUP(C97,'TABULAR PRICE LIST'!$A:$L,12,FALSE)</f>
        <v>2564</v>
      </c>
      <c r="AA97" s="111">
        <f>Table14[[#This Row],[Coil Size]]*Table14[[#This Row],[D10]]/1000</f>
        <v>0</v>
      </c>
      <c r="AB97" s="111">
        <f>Table14[[#This Row],[Weight/KYD]]*Table14[[#This Row],[D10]]</f>
        <v>0</v>
      </c>
      <c r="AC97" s="177"/>
      <c r="AD97" s="111">
        <v>100</v>
      </c>
    </row>
    <row r="98" spans="1:30" ht="18.5" x14ac:dyDescent="0.45">
      <c r="A98" s="189" t="s">
        <v>30</v>
      </c>
      <c r="B98" s="18">
        <f t="shared" si="2"/>
        <v>89</v>
      </c>
      <c r="C98" s="19" t="s">
        <v>199</v>
      </c>
      <c r="D98" s="19" t="s">
        <v>15</v>
      </c>
      <c r="E98" s="19" t="s">
        <v>19</v>
      </c>
      <c r="F98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"),AD98,Table14[[#This Row],[Cod No]])</f>
        <v>100</v>
      </c>
      <c r="G98" s="20" t="s">
        <v>177</v>
      </c>
      <c r="H98" s="20" t="s">
        <v>200</v>
      </c>
      <c r="I98" s="20"/>
      <c r="J98" s="44">
        <f>Table1[[#This Row],[B]]</f>
        <v>0</v>
      </c>
      <c r="K98" s="44">
        <f>Table1[[#This Row],[BE]]</f>
        <v>0</v>
      </c>
      <c r="L98" s="193">
        <f>Table1[[#This Row],[G]]</f>
        <v>0</v>
      </c>
      <c r="M98" s="44">
        <f>Table1[[#This Row],[J]]</f>
        <v>0</v>
      </c>
      <c r="N98" s="44">
        <f>Table1[[#This Row],[N]]</f>
        <v>0</v>
      </c>
      <c r="O98" s="44">
        <f>Table1[[#This Row],[R]]</f>
        <v>0</v>
      </c>
      <c r="P98" s="44">
        <f>Table1[[#This Row],[V]]</f>
        <v>0</v>
      </c>
      <c r="Q98" s="44">
        <f>Table1[[#This Row],[VJ]]</f>
        <v>0</v>
      </c>
      <c r="R98" s="44">
        <f>Table1[[#This Row],[RN]]</f>
        <v>0</v>
      </c>
      <c r="S98" s="44">
        <f>Table1[[#This Row],[Blank]]</f>
        <v>0</v>
      </c>
      <c r="T98" s="45">
        <f>SUM(Table14[[#This Row],[B]:[Blank]])</f>
        <v>0</v>
      </c>
      <c r="U98" s="116">
        <v>14.89</v>
      </c>
      <c r="V98" s="118">
        <f t="shared" si="3"/>
        <v>0</v>
      </c>
      <c r="W98" s="111">
        <v>10.455</v>
      </c>
      <c r="X98" s="111" t="e">
        <f>Table14[[#This Row],[Coil Size]]*Table14[[#This Row],[D10]]/1000*VLOOKUP(Table14[[#This Row],[Navision Code]],'TABULAR PRICE LIST'!A:L,11,FALSE)</f>
        <v>#N/A</v>
      </c>
      <c r="Y98" s="111">
        <f>IFERROR(Table14[[#This Row],[Coil Size]]*Table14[[#This Row],[D10]]/1000*VLOOKUP(Table14[[#This Row],[Navision Code]],'TABULAR PRICE LIST'!A:L,10,FALSE),0)</f>
        <v>0</v>
      </c>
      <c r="Z98" s="111" t="e">
        <f>VLOOKUP(C98,'TABULAR PRICE LIST'!$A:$L,12,FALSE)</f>
        <v>#N/A</v>
      </c>
      <c r="AA98" s="111">
        <f>Table14[[#This Row],[Coil Size]]*Table14[[#This Row],[D10]]/1000</f>
        <v>0</v>
      </c>
      <c r="AB98" s="111">
        <f>Table14[[#This Row],[Weight/KYD]]*Table14[[#This Row],[D10]]</f>
        <v>0</v>
      </c>
      <c r="AC98" s="177"/>
      <c r="AD98" s="111">
        <v>100</v>
      </c>
    </row>
    <row r="99" spans="1:30" ht="18.5" x14ac:dyDescent="0.45">
      <c r="A99" s="189" t="s">
        <v>30</v>
      </c>
      <c r="B99" s="18">
        <f t="shared" si="2"/>
        <v>90</v>
      </c>
      <c r="C99" s="19" t="s">
        <v>201</v>
      </c>
      <c r="D99" s="19" t="s">
        <v>15</v>
      </c>
      <c r="E99" s="19" t="s">
        <v>19</v>
      </c>
      <c r="F99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"),AD99,Table14[[#This Row],[Cod No]])</f>
        <v>100</v>
      </c>
      <c r="G99" s="20" t="s">
        <v>177</v>
      </c>
      <c r="H99" s="20" t="s">
        <v>202</v>
      </c>
      <c r="I99" s="20"/>
      <c r="J99" s="44">
        <f>Table1[[#This Row],[B]]</f>
        <v>0</v>
      </c>
      <c r="K99" s="44">
        <f>Table1[[#This Row],[BE]]</f>
        <v>0</v>
      </c>
      <c r="L99" s="193">
        <f>Table1[[#This Row],[G]]</f>
        <v>0</v>
      </c>
      <c r="M99" s="44">
        <f>Table1[[#This Row],[J]]</f>
        <v>0</v>
      </c>
      <c r="N99" s="44">
        <f>Table1[[#This Row],[N]]</f>
        <v>0</v>
      </c>
      <c r="O99" s="44">
        <f>Table1[[#This Row],[R]]</f>
        <v>0</v>
      </c>
      <c r="P99" s="44">
        <f>Table1[[#This Row],[V]]</f>
        <v>0</v>
      </c>
      <c r="Q99" s="44">
        <f>Table1[[#This Row],[VJ]]</f>
        <v>0</v>
      </c>
      <c r="R99" s="44">
        <f>Table1[[#This Row],[RN]]</f>
        <v>0</v>
      </c>
      <c r="S99" s="44">
        <f>Table1[[#This Row],[Blank]]</f>
        <v>0</v>
      </c>
      <c r="T99" s="45">
        <f>SUM(Table14[[#This Row],[B]:[Blank]])</f>
        <v>0</v>
      </c>
      <c r="U99" s="116">
        <v>17</v>
      </c>
      <c r="V99" s="118">
        <f t="shared" si="3"/>
        <v>0</v>
      </c>
      <c r="W99" s="111">
        <v>0.314</v>
      </c>
      <c r="X99" s="111" t="e">
        <f>Table14[[#This Row],[Coil Size]]*Table14[[#This Row],[D10]]/1000*VLOOKUP(Table14[[#This Row],[Navision Code]],'TABULAR PRICE LIST'!A:L,11,FALSE)</f>
        <v>#N/A</v>
      </c>
      <c r="Y99" s="111">
        <f>IFERROR(Table14[[#This Row],[Coil Size]]*Table14[[#This Row],[D10]]/1000*VLOOKUP(Table14[[#This Row],[Navision Code]],'TABULAR PRICE LIST'!A:L,10,FALSE),0)</f>
        <v>0</v>
      </c>
      <c r="Z99" s="111" t="e">
        <f>VLOOKUP(C99,'TABULAR PRICE LIST'!$A:$L,12,FALSE)</f>
        <v>#N/A</v>
      </c>
      <c r="AA99" s="111">
        <f>Table14[[#This Row],[Coil Size]]*Table14[[#This Row],[D10]]/1000</f>
        <v>0</v>
      </c>
      <c r="AB99" s="111">
        <f>Table14[[#This Row],[Weight/KYD]]*Table14[[#This Row],[D10]]</f>
        <v>0</v>
      </c>
      <c r="AC99" s="177"/>
      <c r="AD99" s="111">
        <v>100</v>
      </c>
    </row>
    <row r="100" spans="1:30" ht="18.5" x14ac:dyDescent="0.45">
      <c r="A100" s="189" t="s">
        <v>30</v>
      </c>
      <c r="B100" s="18">
        <f t="shared" si="2"/>
        <v>91</v>
      </c>
      <c r="C100" s="19" t="s">
        <v>203</v>
      </c>
      <c r="D100" s="19" t="s">
        <v>15</v>
      </c>
      <c r="E100" s="19" t="s">
        <v>16</v>
      </c>
      <c r="F100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"),AD100,Table14[[#This Row],[Cod No]])</f>
        <v>100</v>
      </c>
      <c r="G100" s="20" t="s">
        <v>204</v>
      </c>
      <c r="H100" s="20" t="s">
        <v>93</v>
      </c>
      <c r="I100" s="29"/>
      <c r="J100" s="44">
        <f>Table1[[#This Row],[B]]</f>
        <v>0</v>
      </c>
      <c r="K100" s="44">
        <f>Table1[[#This Row],[BE]]</f>
        <v>0</v>
      </c>
      <c r="L100" s="198">
        <f>Table1[[#This Row],[G]]</f>
        <v>0</v>
      </c>
      <c r="M100" s="44">
        <f>Table1[[#This Row],[J]]</f>
        <v>0</v>
      </c>
      <c r="N100" s="44">
        <f>Table1[[#This Row],[N]]</f>
        <v>0</v>
      </c>
      <c r="O100" s="104">
        <f>Table1[[#This Row],[R]]</f>
        <v>0</v>
      </c>
      <c r="P100" s="104">
        <f>Table1[[#This Row],[V]]</f>
        <v>0</v>
      </c>
      <c r="Q100" s="104">
        <f>Table1[[#This Row],[VJ]]</f>
        <v>0</v>
      </c>
      <c r="R100" s="44">
        <f>Table1[[#This Row],[RN]]</f>
        <v>0</v>
      </c>
      <c r="S100" s="104">
        <f>Table1[[#This Row],[Blank]]</f>
        <v>0</v>
      </c>
      <c r="T100" s="45">
        <f>SUM(Table14[[#This Row],[B]:[Blank]])</f>
        <v>0</v>
      </c>
      <c r="U100" s="116">
        <v>0.63700000000000001</v>
      </c>
      <c r="V100" s="118">
        <f t="shared" si="3"/>
        <v>0</v>
      </c>
      <c r="W100" s="111">
        <v>1.0455000000000001</v>
      </c>
      <c r="X100" s="111">
        <f>Table14[[#This Row],[Coil Size]]*Table14[[#This Row],[D10]]/1000*VLOOKUP(Table14[[#This Row],[Navision Code]],'TABULAR PRICE LIST'!A:L,11,FALSE)</f>
        <v>0</v>
      </c>
      <c r="Y100" s="111">
        <f>IFERROR(Table14[[#This Row],[Coil Size]]*Table14[[#This Row],[D10]]/1000*VLOOKUP(Table14[[#This Row],[Navision Code]],'TABULAR PRICE LIST'!A:L,10,FALSE),0)</f>
        <v>0</v>
      </c>
      <c r="Z100" s="111">
        <f>VLOOKUP(C100,'TABULAR PRICE LIST'!$A:$L,12,FALSE)</f>
        <v>101</v>
      </c>
      <c r="AA100" s="111">
        <f>Table14[[#This Row],[Coil Size]]*Table14[[#This Row],[D10]]/1000</f>
        <v>0</v>
      </c>
      <c r="AB100" s="111">
        <f>Table14[[#This Row],[Weight/KYD]]*Table14[[#This Row],[D10]]</f>
        <v>0</v>
      </c>
      <c r="AC100" s="177"/>
      <c r="AD100" s="111">
        <v>100</v>
      </c>
    </row>
    <row r="101" spans="1:30" ht="18.5" x14ac:dyDescent="0.45">
      <c r="A101" s="189" t="s">
        <v>30</v>
      </c>
      <c r="B101" s="18">
        <f t="shared" si="2"/>
        <v>92</v>
      </c>
      <c r="C101" s="19" t="s">
        <v>205</v>
      </c>
      <c r="D101" s="19" t="s">
        <v>15</v>
      </c>
      <c r="E101" s="19" t="s">
        <v>19</v>
      </c>
      <c r="F101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"),AD101,Table14[[#This Row],[Cod No]])</f>
        <v>100</v>
      </c>
      <c r="G101" s="20" t="s">
        <v>206</v>
      </c>
      <c r="H101" s="20" t="s">
        <v>207</v>
      </c>
      <c r="I101" s="20">
        <v>100</v>
      </c>
      <c r="J101" s="44">
        <f>Table1[[#This Row],[B]]</f>
        <v>0</v>
      </c>
      <c r="K101" s="44">
        <f>Table1[[#This Row],[BE]]</f>
        <v>0</v>
      </c>
      <c r="L101" s="44">
        <f>Table1[[#This Row],[G]]</f>
        <v>0</v>
      </c>
      <c r="M101" s="44">
        <f>Table1[[#This Row],[J]]</f>
        <v>0</v>
      </c>
      <c r="N101" s="193">
        <f>Table1[[#This Row],[N]]</f>
        <v>0</v>
      </c>
      <c r="O101" s="44">
        <f>Table1[[#This Row],[R]]</f>
        <v>0</v>
      </c>
      <c r="P101" s="44">
        <f>Table1[[#This Row],[V]]</f>
        <v>0</v>
      </c>
      <c r="Q101" s="44">
        <f>Table1[[#This Row],[VJ]]</f>
        <v>0</v>
      </c>
      <c r="R101" s="44">
        <f>Table1[[#This Row],[RN]]</f>
        <v>0</v>
      </c>
      <c r="S101" s="44">
        <f>Table1[[#This Row],[Blank]]</f>
        <v>0</v>
      </c>
      <c r="T101" s="105">
        <f>SUM(Table14[[#This Row],[B]:[Blank]])</f>
        <v>0</v>
      </c>
      <c r="U101" s="116">
        <v>5.7491289198606275</v>
      </c>
      <c r="V101" s="118">
        <f t="shared" si="3"/>
        <v>0</v>
      </c>
      <c r="W101" s="111">
        <v>6.5343749999999998</v>
      </c>
      <c r="X101" s="111">
        <f>Table14[[#This Row],[Coil Size]]*Table14[[#This Row],[D10]]/1000*VLOOKUP(Table14[[#This Row],[Navision Code]],'TABULAR PRICE LIST'!A:L,11,FALSE)</f>
        <v>0</v>
      </c>
      <c r="Y101" s="111">
        <f>IFERROR(Table14[[#This Row],[Coil Size]]*Table14[[#This Row],[D10]]/1000*VLOOKUP(Table14[[#This Row],[Navision Code]],'TABULAR PRICE LIST'!A:L,10,FALSE),0)</f>
        <v>0</v>
      </c>
      <c r="Z101" s="111">
        <f>VLOOKUP(C101,'TABULAR PRICE LIST'!$A:$L,12,FALSE)</f>
        <v>296</v>
      </c>
      <c r="AA101" s="111">
        <f>Table14[[#This Row],[Coil Size]]*Table14[[#This Row],[D10]]/1000</f>
        <v>0</v>
      </c>
      <c r="AB101" s="111">
        <f>Table14[[#This Row],[Weight/KYD]]*Table14[[#This Row],[D10]]</f>
        <v>0</v>
      </c>
      <c r="AC101" s="177"/>
      <c r="AD101" s="111">
        <v>100</v>
      </c>
    </row>
    <row r="102" spans="1:30" ht="18.5" x14ac:dyDescent="0.45">
      <c r="A102" s="189" t="s">
        <v>30</v>
      </c>
      <c r="B102" s="18">
        <f t="shared" si="2"/>
        <v>93</v>
      </c>
      <c r="C102" s="19" t="s">
        <v>205</v>
      </c>
      <c r="D102" s="19" t="s">
        <v>15</v>
      </c>
      <c r="E102" s="19" t="s">
        <v>19</v>
      </c>
      <c r="F102" s="19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"),AD102,Table14[[#This Row],[Cod No]])</f>
        <v>250</v>
      </c>
      <c r="G102" s="22" t="s">
        <v>206</v>
      </c>
      <c r="H102" s="22" t="s">
        <v>208</v>
      </c>
      <c r="I102" s="20">
        <v>250</v>
      </c>
      <c r="J102" s="44">
        <f>Table1[[#This Row],[B]]</f>
        <v>0</v>
      </c>
      <c r="K102" s="44">
        <f>Table1[[#This Row],[BE]]</f>
        <v>0</v>
      </c>
      <c r="L102" s="44">
        <f>Table1[[#This Row],[G]]</f>
        <v>0</v>
      </c>
      <c r="M102" s="44">
        <f>Table1[[#This Row],[J]]</f>
        <v>0</v>
      </c>
      <c r="N102" s="193">
        <f>Table1[[#This Row],[N]]</f>
        <v>0</v>
      </c>
      <c r="O102" s="44">
        <f>Table1[[#This Row],[R]]</f>
        <v>0</v>
      </c>
      <c r="P102" s="44">
        <f>Table1[[#This Row],[V]]</f>
        <v>0</v>
      </c>
      <c r="Q102" s="44">
        <f>Table1[[#This Row],[VJ]]</f>
        <v>0</v>
      </c>
      <c r="R102" s="44">
        <f>Table1[[#This Row],[RN]]</f>
        <v>0</v>
      </c>
      <c r="S102" s="44">
        <f>Table1[[#This Row],[Blank]]</f>
        <v>0</v>
      </c>
      <c r="T102" s="105">
        <f>SUM(Table14[[#This Row],[B]:[Blank]])</f>
        <v>0</v>
      </c>
      <c r="U102" s="116">
        <v>14.372822299651569</v>
      </c>
      <c r="V102" s="118">
        <f t="shared" si="3"/>
        <v>0</v>
      </c>
      <c r="W102" s="111">
        <v>26.137499999999999</v>
      </c>
      <c r="X102" s="111">
        <f>Table14[[#This Row],[Coil Size]]*Table14[[#This Row],[D10]]/1000*VLOOKUP(Table14[[#This Row],[Navision Code]],'TABULAR PRICE LIST'!A:L,11,FALSE)</f>
        <v>0</v>
      </c>
      <c r="Y102" s="111">
        <f>IFERROR(Table14[[#This Row],[Coil Size]]*Table14[[#This Row],[D10]]/1000*VLOOKUP(Table14[[#This Row],[Navision Code]],'TABULAR PRICE LIST'!A:L,10,FALSE),0)</f>
        <v>0</v>
      </c>
      <c r="Z102" s="111">
        <f>VLOOKUP(C102,'TABULAR PRICE LIST'!$A:$L,12,FALSE)</f>
        <v>296</v>
      </c>
      <c r="AA102" s="111">
        <f>Table14[[#This Row],[Coil Size]]*Table14[[#This Row],[D10]]/1000</f>
        <v>0</v>
      </c>
      <c r="AB102" s="111">
        <f>Table14[[#This Row],[Weight/KYD]]*Table14[[#This Row],[D10]]</f>
        <v>0</v>
      </c>
      <c r="AC102" s="177"/>
      <c r="AD102" s="111">
        <v>250</v>
      </c>
    </row>
    <row r="103" spans="1:30" thickBot="1" x14ac:dyDescent="0.5">
      <c r="A103" s="189" t="s">
        <v>30</v>
      </c>
      <c r="B103" s="23">
        <f t="shared" si="2"/>
        <v>94</v>
      </c>
      <c r="C103" s="24" t="s">
        <v>205</v>
      </c>
      <c r="D103" s="24" t="s">
        <v>15</v>
      </c>
      <c r="E103" s="24" t="s">
        <v>19</v>
      </c>
      <c r="F103" s="24">
        <f>IF(OR(Table14[[#This Row],[Cod No]]="",Table14[[#This Row],[Cod No]]=" ",Table14[[#This Row],[Cod No]]="  ",Table14[[#This Row],[Cod No]]="  ",Table14[[#This Row],[Cod No]]="   ",Table14[[#This Row],[Cod No]]="     ",Table14[[#This Row],[Cod No]]="      ",Table14[[#This Row],[Cod No]]="      "),AD103,Table14[[#This Row],[Cod No]])</f>
        <v>500</v>
      </c>
      <c r="G103" s="31" t="s">
        <v>206</v>
      </c>
      <c r="H103" s="31" t="s">
        <v>209</v>
      </c>
      <c r="I103" s="25">
        <v>500</v>
      </c>
      <c r="J103" s="46">
        <f>Table1[[#This Row],[B]]</f>
        <v>0</v>
      </c>
      <c r="K103" s="46">
        <f>Table1[[#This Row],[BE]]</f>
        <v>0</v>
      </c>
      <c r="L103" s="46">
        <f>Table1[[#This Row],[G]]</f>
        <v>0</v>
      </c>
      <c r="M103" s="46">
        <f>Table1[[#This Row],[J]]</f>
        <v>0</v>
      </c>
      <c r="N103" s="195">
        <f>Table1[[#This Row],[N]]</f>
        <v>0</v>
      </c>
      <c r="O103" s="46">
        <f>Table1[[#This Row],[R]]</f>
        <v>0</v>
      </c>
      <c r="P103" s="46">
        <f>Table1[[#This Row],[V]]</f>
        <v>0</v>
      </c>
      <c r="Q103" s="46">
        <f>Table1[[#This Row],[VJ]]</f>
        <v>0</v>
      </c>
      <c r="R103" s="46">
        <f>Table1[[#This Row],[RN]]</f>
        <v>0</v>
      </c>
      <c r="S103" s="46">
        <f>Table1[[#This Row],[Blank]]</f>
        <v>0</v>
      </c>
      <c r="T103" s="106">
        <f>SUM(Table14[[#This Row],[B]:[Blank]])</f>
        <v>0</v>
      </c>
      <c r="U103" s="119">
        <v>28.745644599303137</v>
      </c>
      <c r="V103" s="124">
        <f t="shared" si="3"/>
        <v>0</v>
      </c>
      <c r="W103" s="112">
        <f>104.55*0.5</f>
        <v>52.274999999999999</v>
      </c>
      <c r="X103" s="112">
        <f>Table14[[#This Row],[Coil Size]]*Table14[[#This Row],[D10]]/1000*VLOOKUP(Table14[[#This Row],[Navision Code]],'TABULAR PRICE LIST'!A:L,11,FALSE)</f>
        <v>0</v>
      </c>
      <c r="Y103" s="112">
        <f>IFERROR(Table14[[#This Row],[Coil Size]]*Table14[[#This Row],[D10]]/1000*VLOOKUP(Table14[[#This Row],[Navision Code]],'TABULAR PRICE LIST'!A:L,10,FALSE),0)</f>
        <v>0</v>
      </c>
      <c r="Z103" s="112">
        <f>VLOOKUP(C103,'TABULAR PRICE LIST'!$A:$L,12,FALSE)</f>
        <v>296</v>
      </c>
      <c r="AA103" s="112">
        <f>Table14[[#This Row],[Coil Size]]*Table14[[#This Row],[D10]]/1000</f>
        <v>0</v>
      </c>
      <c r="AB103" s="112">
        <f>Table14[[#This Row],[Weight/KYD]]*Table14[[#This Row],[D10]]</f>
        <v>0</v>
      </c>
      <c r="AC103" s="177"/>
      <c r="AD103" s="112">
        <v>500</v>
      </c>
    </row>
    <row r="104" spans="1:30" ht="18.5" x14ac:dyDescent="0.45">
      <c r="A104" s="189" t="s">
        <v>30</v>
      </c>
      <c r="B104" s="32"/>
      <c r="C104" s="32"/>
      <c r="D104" s="32"/>
      <c r="E104" s="32"/>
      <c r="F104" s="32"/>
      <c r="G104" s="33"/>
      <c r="H104" s="33"/>
      <c r="I104" s="34"/>
      <c r="J104" s="199">
        <f>Table1[[#This Row],[B]]</f>
        <v>0</v>
      </c>
      <c r="K104" s="199">
        <f>Table1[[#This Row],[BE]]</f>
        <v>0</v>
      </c>
      <c r="L104" s="199">
        <f>Table1[[#This Row],[G]]</f>
        <v>0</v>
      </c>
      <c r="M104" s="199">
        <f>Table1[[#This Row],[J]]</f>
        <v>0</v>
      </c>
      <c r="N104" s="199">
        <f>Table1[[#This Row],[N]]</f>
        <v>0</v>
      </c>
      <c r="O104" s="199">
        <f>Table1[[#This Row],[R]]</f>
        <v>0</v>
      </c>
      <c r="P104" s="199">
        <f>Table1[[#This Row],[V]]</f>
        <v>0</v>
      </c>
      <c r="Q104" s="199">
        <f>Table1[[#This Row],[VJ]]</f>
        <v>0</v>
      </c>
      <c r="R104" s="199">
        <f>Table1[[#This Row],[RN]]</f>
        <v>0</v>
      </c>
      <c r="S104" s="199">
        <f>Table1[[#This Row],[Blank]]</f>
        <v>0</v>
      </c>
      <c r="T104" s="107"/>
      <c r="U104" s="125"/>
      <c r="V104" s="126"/>
      <c r="W104" s="127"/>
      <c r="X104" s="127"/>
      <c r="Y104" s="127"/>
      <c r="Z104" s="127"/>
      <c r="AA104" s="127"/>
      <c r="AB104" s="127"/>
      <c r="AC104" s="177"/>
      <c r="AD104" s="127"/>
    </row>
    <row r="105" spans="1:30" ht="18.5" x14ac:dyDescent="0.45">
      <c r="A105" s="189" t="s">
        <v>30</v>
      </c>
      <c r="B105" s="21"/>
      <c r="C105" s="21"/>
      <c r="D105" s="21"/>
      <c r="E105" s="21"/>
      <c r="F105" s="21"/>
      <c r="G105" s="22"/>
      <c r="H105" s="22"/>
      <c r="I105" s="20"/>
      <c r="J105" s="193">
        <f>Table1[[#This Row],[B]]</f>
        <v>0</v>
      </c>
      <c r="K105" s="193">
        <f>Table1[[#This Row],[BE]]</f>
        <v>0</v>
      </c>
      <c r="L105" s="193">
        <f>Table1[[#This Row],[G]]</f>
        <v>0</v>
      </c>
      <c r="M105" s="193">
        <f>Table1[[#This Row],[J]]</f>
        <v>0</v>
      </c>
      <c r="N105" s="193">
        <f>Table1[[#This Row],[N]]</f>
        <v>0</v>
      </c>
      <c r="O105" s="193">
        <f>Table1[[#This Row],[R]]</f>
        <v>0</v>
      </c>
      <c r="P105" s="193">
        <f>Table1[[#This Row],[V]]</f>
        <v>0</v>
      </c>
      <c r="Q105" s="193">
        <f>Table1[[#This Row],[VJ]]</f>
        <v>0</v>
      </c>
      <c r="R105" s="193">
        <f>Table1[[#This Row],[RN]]</f>
        <v>0</v>
      </c>
      <c r="S105" s="193">
        <f>Table1[[#This Row],[Blank]]</f>
        <v>0</v>
      </c>
      <c r="T105" s="105"/>
      <c r="U105" s="116"/>
      <c r="V105" s="118"/>
      <c r="W105" s="121"/>
      <c r="X105" s="121"/>
      <c r="Y105" s="121"/>
      <c r="Z105" s="121"/>
      <c r="AA105" s="121"/>
      <c r="AB105" s="121"/>
      <c r="AC105" s="177"/>
      <c r="AD105" s="121"/>
    </row>
    <row r="106" spans="1:30" ht="18.5" x14ac:dyDescent="0.45">
      <c r="A106" s="189" t="s">
        <v>30</v>
      </c>
      <c r="B106" s="21"/>
      <c r="C106" s="21"/>
      <c r="D106" s="21"/>
      <c r="E106" s="21"/>
      <c r="F106" s="21"/>
      <c r="G106" s="22"/>
      <c r="H106" s="22"/>
      <c r="I106" s="20"/>
      <c r="J106" s="193">
        <f>Table1[[#This Row],[B]]</f>
        <v>0</v>
      </c>
      <c r="K106" s="193">
        <f>Table1[[#This Row],[BE]]</f>
        <v>0</v>
      </c>
      <c r="L106" s="193">
        <f>Table1[[#This Row],[G]]</f>
        <v>0</v>
      </c>
      <c r="M106" s="193">
        <f>Table1[[#This Row],[J]]</f>
        <v>0</v>
      </c>
      <c r="N106" s="193">
        <f>Table1[[#This Row],[N]]</f>
        <v>0</v>
      </c>
      <c r="O106" s="193">
        <f>Table1[[#This Row],[R]]</f>
        <v>0</v>
      </c>
      <c r="P106" s="193">
        <f>Table1[[#This Row],[V]]</f>
        <v>0</v>
      </c>
      <c r="Q106" s="193">
        <f>Table1[[#This Row],[VJ]]</f>
        <v>0</v>
      </c>
      <c r="R106" s="193">
        <f>Table1[[#This Row],[RN]]</f>
        <v>0</v>
      </c>
      <c r="S106" s="193">
        <f>Table1[[#This Row],[Blank]]</f>
        <v>0</v>
      </c>
      <c r="T106" s="105"/>
      <c r="U106" s="116"/>
      <c r="V106" s="118"/>
      <c r="W106" s="121"/>
      <c r="X106" s="121"/>
      <c r="Y106" s="121"/>
      <c r="Z106" s="121"/>
      <c r="AA106" s="121"/>
      <c r="AB106" s="121"/>
      <c r="AC106" s="177"/>
      <c r="AD106" s="121"/>
    </row>
    <row r="107" spans="1:30" ht="18.5" x14ac:dyDescent="0.45">
      <c r="A107" s="189" t="s">
        <v>30</v>
      </c>
      <c r="B107" s="21"/>
      <c r="C107" s="21"/>
      <c r="D107" s="21"/>
      <c r="E107" s="21"/>
      <c r="F107" s="21"/>
      <c r="G107" s="22"/>
      <c r="H107" s="22"/>
      <c r="I107" s="20"/>
      <c r="J107" s="193">
        <f>Table1[[#This Row],[B]]</f>
        <v>0</v>
      </c>
      <c r="K107" s="193">
        <f>Table1[[#This Row],[BE]]</f>
        <v>0</v>
      </c>
      <c r="L107" s="193">
        <f>Table1[[#This Row],[G]]</f>
        <v>0</v>
      </c>
      <c r="M107" s="193">
        <f>Table1[[#This Row],[J]]</f>
        <v>0</v>
      </c>
      <c r="N107" s="193">
        <f>Table1[[#This Row],[N]]</f>
        <v>0</v>
      </c>
      <c r="O107" s="193">
        <f>Table1[[#This Row],[R]]</f>
        <v>0</v>
      </c>
      <c r="P107" s="193">
        <f>Table1[[#This Row],[V]]</f>
        <v>0</v>
      </c>
      <c r="Q107" s="193">
        <f>Table1[[#This Row],[VJ]]</f>
        <v>0</v>
      </c>
      <c r="R107" s="193">
        <f>Table1[[#This Row],[RN]]</f>
        <v>0</v>
      </c>
      <c r="S107" s="193">
        <f>Table1[[#This Row],[Blank]]</f>
        <v>0</v>
      </c>
      <c r="T107" s="105"/>
      <c r="U107" s="116"/>
      <c r="V107" s="118"/>
      <c r="W107" s="121"/>
      <c r="X107" s="121"/>
      <c r="Y107" s="121"/>
      <c r="Z107" s="121"/>
      <c r="AA107" s="121"/>
      <c r="AB107" s="121"/>
      <c r="AC107" s="177"/>
      <c r="AD107" s="121"/>
    </row>
    <row r="108" spans="1:30" thickBot="1" x14ac:dyDescent="0.5">
      <c r="A108" s="189" t="s">
        <v>30</v>
      </c>
      <c r="B108" s="21"/>
      <c r="C108" s="21"/>
      <c r="D108" s="21"/>
      <c r="E108" s="21"/>
      <c r="F108" s="21"/>
      <c r="G108" s="22"/>
      <c r="H108" s="22"/>
      <c r="I108" s="20"/>
      <c r="J108" s="193">
        <f>Table1[[#This Row],[B]]</f>
        <v>0</v>
      </c>
      <c r="K108" s="193">
        <f>Table1[[#This Row],[BE]]</f>
        <v>0</v>
      </c>
      <c r="L108" s="193">
        <f>Table1[[#This Row],[G]]</f>
        <v>0</v>
      </c>
      <c r="M108" s="193">
        <f>Table1[[#This Row],[J]]</f>
        <v>0</v>
      </c>
      <c r="N108" s="193">
        <f>Table1[[#This Row],[N]]</f>
        <v>0</v>
      </c>
      <c r="O108" s="193">
        <f>Table1[[#This Row],[R]]</f>
        <v>0</v>
      </c>
      <c r="P108" s="193">
        <f>Table1[[#This Row],[V]]</f>
        <v>0</v>
      </c>
      <c r="Q108" s="193">
        <f>Table1[[#This Row],[VJ]]</f>
        <v>0</v>
      </c>
      <c r="R108" s="193">
        <f>Table1[[#This Row],[RN]]</f>
        <v>0</v>
      </c>
      <c r="S108" s="193">
        <f>Table1[[#This Row],[Blank]]</f>
        <v>0</v>
      </c>
      <c r="T108" s="105"/>
      <c r="U108" s="116"/>
      <c r="V108" s="118"/>
      <c r="W108" s="121"/>
      <c r="X108" s="121"/>
      <c r="Y108" s="121"/>
      <c r="Z108" s="121"/>
      <c r="AA108" s="121"/>
      <c r="AB108" s="121"/>
      <c r="AC108" s="177"/>
      <c r="AD108" s="121"/>
    </row>
    <row r="109" spans="1:30" ht="29" thickBot="1" x14ac:dyDescent="0.7">
      <c r="B109" s="35"/>
      <c r="C109" s="35"/>
      <c r="D109" s="35"/>
      <c r="E109" s="35"/>
      <c r="F109" s="35"/>
      <c r="G109" s="36"/>
      <c r="H109" s="37" t="s">
        <v>360</v>
      </c>
      <c r="I109" s="36"/>
      <c r="J109" s="200">
        <f>Table1[[#This Row],[B]]</f>
        <v>0</v>
      </c>
      <c r="K109" s="201">
        <f>Table1[[#This Row],[BE]]</f>
        <v>0</v>
      </c>
      <c r="L109" s="200">
        <f>Table1[[#This Row],[G]]</f>
        <v>0</v>
      </c>
      <c r="M109" s="200">
        <f>Table1[[#This Row],[J]]</f>
        <v>0</v>
      </c>
      <c r="N109" s="200">
        <f>Table1[[#This Row],[N]]</f>
        <v>0</v>
      </c>
      <c r="O109" s="200">
        <f>Table1[[#This Row],[R]]</f>
        <v>0</v>
      </c>
      <c r="P109" s="200">
        <f>Table1[[#This Row],[V]]</f>
        <v>0</v>
      </c>
      <c r="Q109" s="200">
        <f>Table1[[#This Row],[VJ]]</f>
        <v>0</v>
      </c>
      <c r="R109" s="200">
        <f>Table1[[#This Row],[RN]]</f>
        <v>0</v>
      </c>
      <c r="S109" s="200">
        <f>Table1[[#This Row],[Blank]]</f>
        <v>0</v>
      </c>
      <c r="T109" s="108"/>
      <c r="U109" s="128"/>
      <c r="V109" s="129"/>
      <c r="W109" s="130"/>
      <c r="X109" s="135"/>
      <c r="Y109" s="135"/>
      <c r="Z109" s="135"/>
      <c r="AA109" s="135" t="s">
        <v>506</v>
      </c>
      <c r="AB109" s="130"/>
      <c r="AC109" s="177"/>
      <c r="AD109" s="130"/>
    </row>
    <row r="110" spans="1:30" ht="18.5" x14ac:dyDescent="0.45">
      <c r="A110" s="189" t="s">
        <v>34</v>
      </c>
      <c r="B110" s="15">
        <f>98</f>
        <v>98</v>
      </c>
      <c r="C110" s="38" t="s">
        <v>210</v>
      </c>
      <c r="D110" s="38" t="s">
        <v>211</v>
      </c>
      <c r="E110" s="38" t="s">
        <v>19</v>
      </c>
      <c r="F110" s="38">
        <v>500</v>
      </c>
      <c r="G110" s="39" t="s">
        <v>212</v>
      </c>
      <c r="H110" s="17" t="s">
        <v>213</v>
      </c>
      <c r="I110" s="17"/>
      <c r="J110" s="190">
        <f>Table1[[#This Row],[B]]</f>
        <v>0</v>
      </c>
      <c r="K110" s="190">
        <f>Table1[[#This Row],[BE]]</f>
        <v>0</v>
      </c>
      <c r="L110" s="190">
        <f>Table1[[#This Row],[G]]</f>
        <v>0</v>
      </c>
      <c r="M110" s="190">
        <f>Table1[[#This Row],[J]]</f>
        <v>0</v>
      </c>
      <c r="N110" s="190">
        <f>Table1[[#This Row],[N]]</f>
        <v>0</v>
      </c>
      <c r="O110" s="190">
        <f>Table1[[#This Row],[R]]</f>
        <v>0</v>
      </c>
      <c r="P110" s="190">
        <f>Table1[[#This Row],[V]]</f>
        <v>0</v>
      </c>
      <c r="Q110" s="190">
        <f>Table1[[#This Row],[VJ]]</f>
        <v>0</v>
      </c>
      <c r="R110" s="42">
        <f>Table1[[#This Row],[RN]]</f>
        <v>0</v>
      </c>
      <c r="S110" s="190">
        <f>Table1[[#This Row],[Blank]]</f>
        <v>0</v>
      </c>
      <c r="T110" s="109">
        <f>SUM(Table14[[#This Row],[B]:[Blank]])</f>
        <v>0</v>
      </c>
      <c r="U110" s="114">
        <v>0.38195834578590898</v>
      </c>
      <c r="V110" s="115">
        <f t="shared" si="3"/>
        <v>0</v>
      </c>
      <c r="W110" s="115">
        <f>Table14[[#This Row],[SIZE]]*8.89/1000</f>
        <v>0.31115000000000004</v>
      </c>
      <c r="X110" s="136">
        <f>Table14[[#This Row],[Coil Size]]*Table14[[#This Row],[D10]]/1000*VLOOKUP(Table14[[#This Row],[Navision Code]],'TABULAR PRICE LIST'!A:L,11,FALSE)</f>
        <v>0</v>
      </c>
      <c r="Y110" s="136">
        <f>IFERROR(Table14[[#This Row],[Coil Size]]*Table14[[#This Row],[D10]]/1000*VLOOKUP(Table14[[#This Row],[Navision Code]],'TABULAR PRICE LIST'!A:L,10,FALSE),0)</f>
        <v>0</v>
      </c>
      <c r="Z110" s="136">
        <f>VLOOKUP(C110,'TABULAR PRICE LIST'!$A:$L,12,FALSE)</f>
        <v>5914</v>
      </c>
      <c r="AA110" s="136">
        <f>Table14[[#This Row],[Coil Size]]*Table14[[#This Row],[D10]]/1000</f>
        <v>0</v>
      </c>
      <c r="AB110" s="115">
        <f>Table14[[#This Row],[Weight/KYD]]*Table14[[#This Row],[D10]]</f>
        <v>0</v>
      </c>
      <c r="AC110" s="177"/>
      <c r="AD110" s="115">
        <v>1</v>
      </c>
    </row>
    <row r="111" spans="1:30" ht="18.5" x14ac:dyDescent="0.45">
      <c r="A111" s="189" t="s">
        <v>34</v>
      </c>
      <c r="B111" s="18">
        <f>B110+1</f>
        <v>99</v>
      </c>
      <c r="C111" s="21" t="s">
        <v>214</v>
      </c>
      <c r="D111" s="21" t="s">
        <v>211</v>
      </c>
      <c r="E111" s="21" t="s">
        <v>19</v>
      </c>
      <c r="F111" s="21">
        <v>500</v>
      </c>
      <c r="G111" s="22" t="s">
        <v>212</v>
      </c>
      <c r="H111" s="20">
        <v>50</v>
      </c>
      <c r="I111" s="20"/>
      <c r="J111" s="44">
        <f>Table1[[#This Row],[B]]</f>
        <v>0</v>
      </c>
      <c r="K111" s="44">
        <f>Table1[[#This Row],[BE]]</f>
        <v>0</v>
      </c>
      <c r="L111" s="44">
        <f>Table1[[#This Row],[G]]</f>
        <v>0</v>
      </c>
      <c r="M111" s="44">
        <f>Table1[[#This Row],[J]]</f>
        <v>0</v>
      </c>
      <c r="N111" s="193">
        <f>Table1[[#This Row],[N]]</f>
        <v>0</v>
      </c>
      <c r="O111" s="44">
        <f>Table1[[#This Row],[R]]</f>
        <v>0</v>
      </c>
      <c r="P111" s="44">
        <f>Table1[[#This Row],[V]]</f>
        <v>0</v>
      </c>
      <c r="Q111" s="193">
        <f>Table1[[#This Row],[VJ]]</f>
        <v>0</v>
      </c>
      <c r="R111" s="44">
        <f>Table1[[#This Row],[RN]]</f>
        <v>0</v>
      </c>
      <c r="S111" s="44">
        <f>Table1[[#This Row],[Blank]]</f>
        <v>0</v>
      </c>
      <c r="T111" s="105">
        <f>SUM(Table14[[#This Row],[B]:[Blank]])</f>
        <v>0</v>
      </c>
      <c r="U111" s="116">
        <v>0.52045608238547281</v>
      </c>
      <c r="V111" s="118">
        <f t="shared" si="3"/>
        <v>0</v>
      </c>
      <c r="W111" s="118">
        <f>Table14[[#This Row],[SIZE]]*8.89/1000</f>
        <v>0.44450000000000001</v>
      </c>
      <c r="X111" s="118">
        <f>Table14[[#This Row],[Coil Size]]*Table14[[#This Row],[D10]]/1000*VLOOKUP(Table14[[#This Row],[Navision Code]],'TABULAR PRICE LIST'!A:L,11,FALSE)</f>
        <v>0</v>
      </c>
      <c r="Y111" s="118">
        <f>IFERROR(Table14[[#This Row],[Coil Size]]*Table14[[#This Row],[D10]]/1000*VLOOKUP(Table14[[#This Row],[Navision Code]],'TABULAR PRICE LIST'!A:L,10,FALSE),0)</f>
        <v>0</v>
      </c>
      <c r="Z111" s="118">
        <f>VLOOKUP(C111,'TABULAR PRICE LIST'!$A:$L,12,FALSE)</f>
        <v>10454</v>
      </c>
      <c r="AA111" s="118">
        <f>Table14[[#This Row],[Coil Size]]*Table14[[#This Row],[D10]]/1000</f>
        <v>0</v>
      </c>
      <c r="AB111" s="118">
        <f>Table14[[#This Row],[Weight/KYD]]*Table14[[#This Row],[D10]]</f>
        <v>0</v>
      </c>
      <c r="AC111" s="177"/>
      <c r="AD111" s="118">
        <v>1</v>
      </c>
    </row>
    <row r="112" spans="1:30" ht="18.5" x14ac:dyDescent="0.45">
      <c r="A112" s="189" t="s">
        <v>34</v>
      </c>
      <c r="B112" s="18">
        <f t="shared" ref="B112:B176" si="4">B111+1</f>
        <v>100</v>
      </c>
      <c r="C112" s="21" t="s">
        <v>215</v>
      </c>
      <c r="D112" s="21" t="s">
        <v>211</v>
      </c>
      <c r="E112" s="21" t="s">
        <v>19</v>
      </c>
      <c r="F112" s="21">
        <v>500</v>
      </c>
      <c r="G112" s="22" t="s">
        <v>212</v>
      </c>
      <c r="H112" s="20">
        <v>70</v>
      </c>
      <c r="I112" s="20"/>
      <c r="J112" s="44">
        <f>Table1[[#This Row],[B]]</f>
        <v>0</v>
      </c>
      <c r="K112" s="44">
        <f>Table1[[#This Row],[BE]]</f>
        <v>0</v>
      </c>
      <c r="L112" s="44">
        <f>Table1[[#This Row],[G]]</f>
        <v>0</v>
      </c>
      <c r="M112" s="44">
        <f>Table1[[#This Row],[J]]</f>
        <v>0</v>
      </c>
      <c r="N112" s="193">
        <f>Table1[[#This Row],[N]]</f>
        <v>0</v>
      </c>
      <c r="O112" s="44">
        <f>Table1[[#This Row],[R]]</f>
        <v>0</v>
      </c>
      <c r="P112" s="44">
        <f>Table1[[#This Row],[V]]</f>
        <v>0</v>
      </c>
      <c r="Q112" s="193">
        <f>Table1[[#This Row],[VJ]]</f>
        <v>0</v>
      </c>
      <c r="R112" s="44">
        <f>Table1[[#This Row],[RN]]</f>
        <v>0</v>
      </c>
      <c r="S112" s="44">
        <f>Table1[[#This Row],[Blank]]</f>
        <v>0</v>
      </c>
      <c r="T112" s="105">
        <f>SUM(Table14[[#This Row],[B]:[Blank]])</f>
        <v>0</v>
      </c>
      <c r="U112" s="116">
        <v>0.70063270197989502</v>
      </c>
      <c r="V112" s="118">
        <f t="shared" si="3"/>
        <v>0</v>
      </c>
      <c r="W112" s="118">
        <f>Table14[[#This Row],[SIZE]]*8.89/1000</f>
        <v>0.62230000000000008</v>
      </c>
      <c r="X112" s="118">
        <f>Table14[[#This Row],[Coil Size]]*Table14[[#This Row],[D10]]/1000*VLOOKUP(Table14[[#This Row],[Navision Code]],'TABULAR PRICE LIST'!A:L,11,FALSE)</f>
        <v>0</v>
      </c>
      <c r="Y112" s="118">
        <f>IFERROR(Table14[[#This Row],[Coil Size]]*Table14[[#This Row],[D10]]/1000*VLOOKUP(Table14[[#This Row],[Navision Code]],'TABULAR PRICE LIST'!A:L,10,FALSE),0)</f>
        <v>0</v>
      </c>
      <c r="Z112" s="118">
        <f>VLOOKUP(C112,'TABULAR PRICE LIST'!$A:$L,12,FALSE)</f>
        <v>14484</v>
      </c>
      <c r="AA112" s="118">
        <f>Table14[[#This Row],[Coil Size]]*Table14[[#This Row],[D10]]/1000</f>
        <v>0</v>
      </c>
      <c r="AB112" s="118">
        <f>Table14[[#This Row],[Weight/KYD]]*Table14[[#This Row],[D10]]</f>
        <v>0</v>
      </c>
      <c r="AC112" s="177"/>
      <c r="AD112" s="118">
        <v>1</v>
      </c>
    </row>
    <row r="113" spans="1:30" ht="18.5" x14ac:dyDescent="0.45">
      <c r="A113" s="189" t="s">
        <v>34</v>
      </c>
      <c r="B113" s="18">
        <f t="shared" si="4"/>
        <v>101</v>
      </c>
      <c r="C113" s="21" t="s">
        <v>216</v>
      </c>
      <c r="D113" s="21" t="s">
        <v>211</v>
      </c>
      <c r="E113" s="21" t="s">
        <v>19</v>
      </c>
      <c r="F113" s="21">
        <v>500</v>
      </c>
      <c r="G113" s="22" t="s">
        <v>212</v>
      </c>
      <c r="H113" s="20">
        <v>95</v>
      </c>
      <c r="I113" s="20"/>
      <c r="J113" s="44">
        <f>Table1[[#This Row],[B]]</f>
        <v>0</v>
      </c>
      <c r="K113" s="44">
        <f>Table1[[#This Row],[BE]]</f>
        <v>0</v>
      </c>
      <c r="L113" s="44">
        <f>Table1[[#This Row],[G]]</f>
        <v>0</v>
      </c>
      <c r="M113" s="44">
        <f>Table1[[#This Row],[J]]</f>
        <v>0</v>
      </c>
      <c r="N113" s="193">
        <f>Table1[[#This Row],[N]]</f>
        <v>0</v>
      </c>
      <c r="O113" s="44">
        <f>Table1[[#This Row],[R]]</f>
        <v>0</v>
      </c>
      <c r="P113" s="44">
        <f>Table1[[#This Row],[V]]</f>
        <v>0</v>
      </c>
      <c r="Q113" s="193">
        <f>Table1[[#This Row],[VJ]]</f>
        <v>0</v>
      </c>
      <c r="R113" s="44">
        <f>Table1[[#This Row],[RN]]</f>
        <v>0</v>
      </c>
      <c r="S113" s="44">
        <f>Table1[[#This Row],[Blank]]</f>
        <v>0</v>
      </c>
      <c r="T113" s="105">
        <f>SUM(Table14[[#This Row],[B]:[Blank]])</f>
        <v>0</v>
      </c>
      <c r="U113" s="116">
        <v>0.9781708565578433</v>
      </c>
      <c r="V113" s="118">
        <f t="shared" si="3"/>
        <v>0</v>
      </c>
      <c r="W113" s="118">
        <f>Table14[[#This Row],[SIZE]]*8.89/1000</f>
        <v>0.84455000000000002</v>
      </c>
      <c r="X113" s="118">
        <f>Table14[[#This Row],[Coil Size]]*Table14[[#This Row],[D10]]/1000*VLOOKUP(Table14[[#This Row],[Navision Code]],'TABULAR PRICE LIST'!A:L,11,FALSE)</f>
        <v>0</v>
      </c>
      <c r="Y113" s="118">
        <f>IFERROR(Table14[[#This Row],[Coil Size]]*Table14[[#This Row],[D10]]/1000*VLOOKUP(Table14[[#This Row],[Navision Code]],'TABULAR PRICE LIST'!A:L,10,FALSE),0)</f>
        <v>0</v>
      </c>
      <c r="Z113" s="118">
        <f>VLOOKUP(C113,'TABULAR PRICE LIST'!$A:$L,12,FALSE)</f>
        <v>20074</v>
      </c>
      <c r="AA113" s="118">
        <f>Table14[[#This Row],[Coil Size]]*Table14[[#This Row],[D10]]/1000</f>
        <v>0</v>
      </c>
      <c r="AB113" s="118">
        <f>Table14[[#This Row],[Weight/KYD]]*Table14[[#This Row],[D10]]</f>
        <v>0</v>
      </c>
      <c r="AC113" s="177"/>
      <c r="AD113" s="118">
        <v>1</v>
      </c>
    </row>
    <row r="114" spans="1:30" ht="18.5" x14ac:dyDescent="0.45">
      <c r="A114" s="189" t="s">
        <v>34</v>
      </c>
      <c r="B114" s="18">
        <f t="shared" si="4"/>
        <v>102</v>
      </c>
      <c r="C114" s="21" t="s">
        <v>217</v>
      </c>
      <c r="D114" s="21" t="s">
        <v>211</v>
      </c>
      <c r="E114" s="21" t="s">
        <v>19</v>
      </c>
      <c r="F114" s="21">
        <v>500</v>
      </c>
      <c r="G114" s="22" t="s">
        <v>212</v>
      </c>
      <c r="H114" s="20">
        <v>120</v>
      </c>
      <c r="I114" s="20"/>
      <c r="J114" s="44">
        <f>Table1[[#This Row],[B]]</f>
        <v>0</v>
      </c>
      <c r="K114" s="44">
        <f>Table1[[#This Row],[BE]]</f>
        <v>0</v>
      </c>
      <c r="L114" s="44">
        <f>Table1[[#This Row],[G]]</f>
        <v>0</v>
      </c>
      <c r="M114" s="44">
        <f>Table1[[#This Row],[J]]</f>
        <v>0</v>
      </c>
      <c r="N114" s="193">
        <f>Table1[[#This Row],[N]]</f>
        <v>0</v>
      </c>
      <c r="O114" s="44">
        <f>Table1[[#This Row],[R]]</f>
        <v>0</v>
      </c>
      <c r="P114" s="44">
        <f>Table1[[#This Row],[V]]</f>
        <v>0</v>
      </c>
      <c r="Q114" s="193">
        <f>Table1[[#This Row],[VJ]]</f>
        <v>0</v>
      </c>
      <c r="R114" s="44">
        <f>Table1[[#This Row],[RN]]</f>
        <v>0</v>
      </c>
      <c r="S114" s="44">
        <f>Table1[[#This Row],[Blank]]</f>
        <v>0</v>
      </c>
      <c r="T114" s="105">
        <f>SUM(Table14[[#This Row],[B]:[Blank]])</f>
        <v>0</v>
      </c>
      <c r="U114" s="116">
        <v>1.2134843002703266</v>
      </c>
      <c r="V114" s="118">
        <f t="shared" si="3"/>
        <v>0</v>
      </c>
      <c r="W114" s="118">
        <f>Table14[[#This Row],[SIZE]]*8.89/1000</f>
        <v>1.0668000000000002</v>
      </c>
      <c r="X114" s="118">
        <f>Table14[[#This Row],[Coil Size]]*Table14[[#This Row],[D10]]/1000*VLOOKUP(Table14[[#This Row],[Navision Code]],'TABULAR PRICE LIST'!A:L,11,FALSE)</f>
        <v>0</v>
      </c>
      <c r="Y114" s="118">
        <f>IFERROR(Table14[[#This Row],[Coil Size]]*Table14[[#This Row],[D10]]/1000*VLOOKUP(Table14[[#This Row],[Navision Code]],'TABULAR PRICE LIST'!A:L,10,FALSE),0)</f>
        <v>0</v>
      </c>
      <c r="Z114" s="118">
        <f>VLOOKUP(C114,'TABULAR PRICE LIST'!$A:$L,12,FALSE)</f>
        <v>25174</v>
      </c>
      <c r="AA114" s="118">
        <f>Table14[[#This Row],[Coil Size]]*Table14[[#This Row],[D10]]/1000</f>
        <v>0</v>
      </c>
      <c r="AB114" s="118">
        <f>Table14[[#This Row],[Weight/KYD]]*Table14[[#This Row],[D10]]</f>
        <v>0</v>
      </c>
      <c r="AC114" s="177"/>
      <c r="AD114" s="118">
        <v>1</v>
      </c>
    </row>
    <row r="115" spans="1:30" ht="18.5" x14ac:dyDescent="0.45">
      <c r="A115" s="189" t="s">
        <v>34</v>
      </c>
      <c r="B115" s="18">
        <f t="shared" si="4"/>
        <v>103</v>
      </c>
      <c r="C115" s="21" t="s">
        <v>218</v>
      </c>
      <c r="D115" s="21" t="s">
        <v>211</v>
      </c>
      <c r="E115" s="21" t="s">
        <v>19</v>
      </c>
      <c r="F115" s="21">
        <v>500</v>
      </c>
      <c r="G115" s="22" t="s">
        <v>212</v>
      </c>
      <c r="H115" s="20">
        <v>150</v>
      </c>
      <c r="I115" s="20"/>
      <c r="J115" s="44">
        <f>Table1[[#This Row],[B]]</f>
        <v>0</v>
      </c>
      <c r="K115" s="44">
        <f>Table1[[#This Row],[BE]]</f>
        <v>0</v>
      </c>
      <c r="L115" s="44">
        <f>Table1[[#This Row],[G]]</f>
        <v>0</v>
      </c>
      <c r="M115" s="44">
        <f>Table1[[#This Row],[J]]</f>
        <v>0</v>
      </c>
      <c r="N115" s="193">
        <f>Table1[[#This Row],[N]]</f>
        <v>0</v>
      </c>
      <c r="O115" s="44">
        <f>Table1[[#This Row],[R]]</f>
        <v>0</v>
      </c>
      <c r="P115" s="44">
        <f>Table1[[#This Row],[V]]</f>
        <v>0</v>
      </c>
      <c r="Q115" s="193">
        <f>Table1[[#This Row],[VJ]]</f>
        <v>0</v>
      </c>
      <c r="R115" s="44">
        <f>Table1[[#This Row],[RN]]</f>
        <v>0</v>
      </c>
      <c r="S115" s="44">
        <f>Table1[[#This Row],[Blank]]</f>
        <v>0</v>
      </c>
      <c r="T115" s="105">
        <f>SUM(Table14[[#This Row],[B]:[Blank]])</f>
        <v>0</v>
      </c>
      <c r="U115" s="116">
        <v>1.5249999999999999</v>
      </c>
      <c r="V115" s="118">
        <f t="shared" si="3"/>
        <v>0</v>
      </c>
      <c r="W115" s="118">
        <f>Table14[[#This Row],[SIZE]]*8.89/1000</f>
        <v>1.3334999999999999</v>
      </c>
      <c r="X115" s="118">
        <f>Table14[[#This Row],[Coil Size]]*Table14[[#This Row],[D10]]/1000*VLOOKUP(Table14[[#This Row],[Navision Code]],'TABULAR PRICE LIST'!A:L,11,FALSE)</f>
        <v>0</v>
      </c>
      <c r="Y115" s="118">
        <f>IFERROR(Table14[[#This Row],[Coil Size]]*Table14[[#This Row],[D10]]/1000*VLOOKUP(Table14[[#This Row],[Navision Code]],'TABULAR PRICE LIST'!A:L,10,FALSE),0)</f>
        <v>0</v>
      </c>
      <c r="Z115" s="118">
        <f>VLOOKUP(C115,'TABULAR PRICE LIST'!$A:$L,12,FALSE)</f>
        <v>31759</v>
      </c>
      <c r="AA115" s="118">
        <f>Table14[[#This Row],[Coil Size]]*Table14[[#This Row],[D10]]/1000</f>
        <v>0</v>
      </c>
      <c r="AB115" s="118">
        <f>Table14[[#This Row],[Weight/KYD]]*Table14[[#This Row],[D10]]</f>
        <v>0</v>
      </c>
      <c r="AC115" s="177"/>
      <c r="AD115" s="118">
        <v>1</v>
      </c>
    </row>
    <row r="116" spans="1:30" ht="18.5" x14ac:dyDescent="0.45">
      <c r="A116" s="189" t="s">
        <v>34</v>
      </c>
      <c r="B116" s="18">
        <f t="shared" si="4"/>
        <v>104</v>
      </c>
      <c r="C116" s="21" t="s">
        <v>219</v>
      </c>
      <c r="D116" s="21" t="s">
        <v>211</v>
      </c>
      <c r="E116" s="21" t="s">
        <v>19</v>
      </c>
      <c r="F116" s="21">
        <v>500</v>
      </c>
      <c r="G116" s="22" t="s">
        <v>212</v>
      </c>
      <c r="H116" s="20">
        <v>185</v>
      </c>
      <c r="I116" s="20"/>
      <c r="J116" s="44">
        <f>Table1[[#This Row],[B]]</f>
        <v>0</v>
      </c>
      <c r="K116" s="44">
        <f>Table1[[#This Row],[BE]]</f>
        <v>0</v>
      </c>
      <c r="L116" s="44">
        <f>Table1[[#This Row],[G]]</f>
        <v>0</v>
      </c>
      <c r="M116" s="44">
        <f>Table1[[#This Row],[J]]</f>
        <v>0</v>
      </c>
      <c r="N116" s="193">
        <f>Table1[[#This Row],[N]]</f>
        <v>0</v>
      </c>
      <c r="O116" s="44">
        <f>Table1[[#This Row],[R]]</f>
        <v>0</v>
      </c>
      <c r="P116" s="44">
        <f>Table1[[#This Row],[V]]</f>
        <v>0</v>
      </c>
      <c r="Q116" s="193">
        <f>Table1[[#This Row],[VJ]]</f>
        <v>0</v>
      </c>
      <c r="R116" s="44">
        <f>Table1[[#This Row],[RN]]</f>
        <v>0</v>
      </c>
      <c r="S116" s="44">
        <f>Table1[[#This Row],[Blank]]</f>
        <v>0</v>
      </c>
      <c r="T116" s="105">
        <f>SUM(Table14[[#This Row],[B]:[Blank]])</f>
        <v>0</v>
      </c>
      <c r="U116" s="116">
        <v>1.83</v>
      </c>
      <c r="V116" s="118">
        <f t="shared" si="3"/>
        <v>0</v>
      </c>
      <c r="W116" s="118">
        <f>Table14[[#This Row],[SIZE]]*8.89/1000</f>
        <v>1.6446500000000002</v>
      </c>
      <c r="X116" s="118">
        <f>Table14[[#This Row],[Coil Size]]*Table14[[#This Row],[D10]]/1000*VLOOKUP(Table14[[#This Row],[Navision Code]],'TABULAR PRICE LIST'!A:L,11,FALSE)</f>
        <v>0</v>
      </c>
      <c r="Y116" s="118">
        <f>IFERROR(Table14[[#This Row],[Coil Size]]*Table14[[#This Row],[D10]]/1000*VLOOKUP(Table14[[#This Row],[Navision Code]],'TABULAR PRICE LIST'!A:L,10,FALSE),0)</f>
        <v>0</v>
      </c>
      <c r="Z116" s="118">
        <f>VLOOKUP(C116,'TABULAR PRICE LIST'!$A:$L,12,FALSE)</f>
        <v>39512</v>
      </c>
      <c r="AA116" s="118">
        <f>Table14[[#This Row],[Coil Size]]*Table14[[#This Row],[D10]]/1000</f>
        <v>0</v>
      </c>
      <c r="AB116" s="118">
        <f>Table14[[#This Row],[Weight/KYD]]*Table14[[#This Row],[D10]]</f>
        <v>0</v>
      </c>
      <c r="AC116" s="177"/>
      <c r="AD116" s="118">
        <v>1</v>
      </c>
    </row>
    <row r="117" spans="1:30" thickBot="1" x14ac:dyDescent="0.5">
      <c r="A117" s="189" t="s">
        <v>34</v>
      </c>
      <c r="B117" s="18">
        <f t="shared" si="4"/>
        <v>105</v>
      </c>
      <c r="C117" s="40" t="s">
        <v>220</v>
      </c>
      <c r="D117" s="40" t="s">
        <v>211</v>
      </c>
      <c r="E117" s="40" t="s">
        <v>19</v>
      </c>
      <c r="F117" s="40">
        <v>500</v>
      </c>
      <c r="G117" s="41" t="s">
        <v>212</v>
      </c>
      <c r="H117" s="28">
        <v>240</v>
      </c>
      <c r="I117" s="28"/>
      <c r="J117" s="48">
        <f>Table1[[#This Row],[B]]</f>
        <v>0</v>
      </c>
      <c r="K117" s="48">
        <f>Table1[[#This Row],[BE]]</f>
        <v>0</v>
      </c>
      <c r="L117" s="48">
        <f>Table1[[#This Row],[G]]</f>
        <v>0</v>
      </c>
      <c r="M117" s="48">
        <f>Table1[[#This Row],[J]]</f>
        <v>0</v>
      </c>
      <c r="N117" s="197">
        <f>Table1[[#This Row],[N]]</f>
        <v>0</v>
      </c>
      <c r="O117" s="48">
        <f>Table1[[#This Row],[R]]</f>
        <v>0</v>
      </c>
      <c r="P117" s="48">
        <f>Table1[[#This Row],[V]]</f>
        <v>0</v>
      </c>
      <c r="Q117" s="197">
        <f>Table1[[#This Row],[VJ]]</f>
        <v>0</v>
      </c>
      <c r="R117" s="48">
        <f>Table1[[#This Row],[RN]]</f>
        <v>0</v>
      </c>
      <c r="S117" s="48">
        <f>Table1[[#This Row],[Blank]]</f>
        <v>0</v>
      </c>
      <c r="T117" s="110">
        <f>SUM(Table14[[#This Row],[B]:[Blank]])</f>
        <v>0</v>
      </c>
      <c r="U117" s="122">
        <v>2.4500000000000002</v>
      </c>
      <c r="V117" s="123">
        <f t="shared" si="3"/>
        <v>0</v>
      </c>
      <c r="W117" s="123">
        <f>Table14[[#This Row],[SIZE]]*8.89/1000</f>
        <v>2.1336000000000004</v>
      </c>
      <c r="X117" s="123">
        <f>Table14[[#This Row],[Coil Size]]*Table14[[#This Row],[D10]]/1000*VLOOKUP(Table14[[#This Row],[Navision Code]],'TABULAR PRICE LIST'!A:L,11,FALSE)</f>
        <v>0</v>
      </c>
      <c r="Y117" s="123">
        <f>IFERROR(Table14[[#This Row],[Coil Size]]*Table14[[#This Row],[D10]]/1000*VLOOKUP(Table14[[#This Row],[Navision Code]],'TABULAR PRICE LIST'!A:L,10,FALSE),0)</f>
        <v>0</v>
      </c>
      <c r="Z117" s="123">
        <f>VLOOKUP(C117,'TABULAR PRICE LIST'!$A:$L,12,FALSE)</f>
        <v>51050</v>
      </c>
      <c r="AA117" s="123">
        <f>Table14[[#This Row],[Coil Size]]*Table14[[#This Row],[D10]]/1000</f>
        <v>0</v>
      </c>
      <c r="AB117" s="123">
        <f>Table14[[#This Row],[Weight/KYD]]*Table14[[#This Row],[D10]]</f>
        <v>0</v>
      </c>
      <c r="AC117" s="177"/>
      <c r="AD117" s="123">
        <v>1</v>
      </c>
    </row>
    <row r="118" spans="1:30" ht="18.5" x14ac:dyDescent="0.45">
      <c r="A118" s="189" t="s">
        <v>34</v>
      </c>
      <c r="B118" s="15">
        <f t="shared" si="4"/>
        <v>106</v>
      </c>
      <c r="C118" s="38" t="s">
        <v>221</v>
      </c>
      <c r="D118" s="38" t="s">
        <v>211</v>
      </c>
      <c r="E118" s="38" t="s">
        <v>19</v>
      </c>
      <c r="F118" s="38">
        <v>500</v>
      </c>
      <c r="G118" s="39" t="s">
        <v>80</v>
      </c>
      <c r="H118" s="39">
        <v>50</v>
      </c>
      <c r="I118" s="17"/>
      <c r="J118" s="42">
        <f>Table1[[#This Row],[B]]</f>
        <v>0</v>
      </c>
      <c r="K118" s="42">
        <f>Table1[[#This Row],[BE]]</f>
        <v>0</v>
      </c>
      <c r="L118" s="42">
        <f>Table1[[#This Row],[G]]</f>
        <v>0</v>
      </c>
      <c r="M118" s="42">
        <f>Table1[[#This Row],[J]]</f>
        <v>0</v>
      </c>
      <c r="N118" s="190">
        <f>Table1[[#This Row],[N]]</f>
        <v>0</v>
      </c>
      <c r="O118" s="42">
        <f>Table1[[#This Row],[R]]</f>
        <v>0</v>
      </c>
      <c r="P118" s="42">
        <f>Table1[[#This Row],[V]]</f>
        <v>0</v>
      </c>
      <c r="Q118" s="190">
        <f>Table1[[#This Row],[VJ]]</f>
        <v>0</v>
      </c>
      <c r="R118" s="42">
        <f>Table1[[#This Row],[RN]]</f>
        <v>0</v>
      </c>
      <c r="S118" s="42">
        <f>Table1[[#This Row],[Blank]]</f>
        <v>0</v>
      </c>
      <c r="T118" s="109">
        <f>SUM(Table14[[#This Row],[B]:[Blank]])</f>
        <v>0</v>
      </c>
      <c r="U118" s="114">
        <v>0.54713612234481701</v>
      </c>
      <c r="V118" s="115">
        <f t="shared" si="3"/>
        <v>0</v>
      </c>
      <c r="W118" s="115">
        <f>Table14[[#This Row],[SIZE]]*8.89/1000</f>
        <v>0.44450000000000001</v>
      </c>
      <c r="X118" s="136">
        <f>Table14[[#This Row],[Coil Size]]*Table14[[#This Row],[D10]]/1000*VLOOKUP(Table14[[#This Row],[Navision Code]],'TABULAR PRICE LIST'!A:L,11,FALSE)</f>
        <v>0</v>
      </c>
      <c r="Y118" s="136">
        <f>IFERROR(Table14[[#This Row],[Coil Size]]*Table14[[#This Row],[D10]]/1000*VLOOKUP(Table14[[#This Row],[Navision Code]],'TABULAR PRICE LIST'!A:L,10,FALSE),0)</f>
        <v>0</v>
      </c>
      <c r="Z118" s="136">
        <f>VLOOKUP(C118,'TABULAR PRICE LIST'!$A:$L,12,FALSE)</f>
        <v>10786</v>
      </c>
      <c r="AA118" s="136">
        <f>Table14[[#This Row],[Coil Size]]*Table14[[#This Row],[D10]]/1000</f>
        <v>0</v>
      </c>
      <c r="AB118" s="115">
        <f>Table14[[#This Row],[Weight/KYD]]*Table14[[#This Row],[D10]]</f>
        <v>0</v>
      </c>
      <c r="AC118" s="177"/>
      <c r="AD118" s="115">
        <v>1</v>
      </c>
    </row>
    <row r="119" spans="1:30" ht="18.5" x14ac:dyDescent="0.45">
      <c r="A119" s="189" t="s">
        <v>34</v>
      </c>
      <c r="B119" s="18">
        <f t="shared" si="4"/>
        <v>107</v>
      </c>
      <c r="C119" s="21" t="s">
        <v>222</v>
      </c>
      <c r="D119" s="21" t="s">
        <v>211</v>
      </c>
      <c r="E119" s="21" t="s">
        <v>19</v>
      </c>
      <c r="F119" s="21">
        <v>500</v>
      </c>
      <c r="G119" s="22" t="s">
        <v>80</v>
      </c>
      <c r="H119" s="22">
        <v>70</v>
      </c>
      <c r="I119" s="20"/>
      <c r="J119" s="44">
        <f>Table1[[#This Row],[B]]</f>
        <v>0</v>
      </c>
      <c r="K119" s="44">
        <f>Table1[[#This Row],[BE]]</f>
        <v>0</v>
      </c>
      <c r="L119" s="44">
        <f>Table1[[#This Row],[G]]</f>
        <v>0</v>
      </c>
      <c r="M119" s="44">
        <f>Table1[[#This Row],[J]]</f>
        <v>0</v>
      </c>
      <c r="N119" s="193">
        <f>Table1[[#This Row],[N]]</f>
        <v>0</v>
      </c>
      <c r="O119" s="44">
        <f>Table1[[#This Row],[R]]</f>
        <v>0</v>
      </c>
      <c r="P119" s="44">
        <f>Table1[[#This Row],[V]]</f>
        <v>0</v>
      </c>
      <c r="Q119" s="193">
        <f>Table1[[#This Row],[VJ]]</f>
        <v>0</v>
      </c>
      <c r="R119" s="44">
        <f>Table1[[#This Row],[RN]]</f>
        <v>0</v>
      </c>
      <c r="S119" s="44">
        <f>Table1[[#This Row],[Blank]]</f>
        <v>0</v>
      </c>
      <c r="T119" s="105">
        <f>SUM(Table14[[#This Row],[B]:[Blank]])</f>
        <v>0</v>
      </c>
      <c r="U119" s="116">
        <v>0.73558127616441593</v>
      </c>
      <c r="V119" s="118">
        <f t="shared" si="3"/>
        <v>0</v>
      </c>
      <c r="W119" s="118">
        <f>Table14[[#This Row],[SIZE]]*8.89/1000</f>
        <v>0.62230000000000008</v>
      </c>
      <c r="X119" s="118">
        <f>Table14[[#This Row],[Coil Size]]*Table14[[#This Row],[D10]]/1000*VLOOKUP(Table14[[#This Row],[Navision Code]],'TABULAR PRICE LIST'!A:L,11,FALSE)</f>
        <v>0</v>
      </c>
      <c r="Y119" s="118">
        <f>IFERROR(Table14[[#This Row],[Coil Size]]*Table14[[#This Row],[D10]]/1000*VLOOKUP(Table14[[#This Row],[Navision Code]],'TABULAR PRICE LIST'!A:L,10,FALSE),0)</f>
        <v>0</v>
      </c>
      <c r="Z119" s="118">
        <f>VLOOKUP(C119,'TABULAR PRICE LIST'!$A:$L,12,FALSE)</f>
        <v>15247</v>
      </c>
      <c r="AA119" s="118">
        <f>Table14[[#This Row],[Coil Size]]*Table14[[#This Row],[D10]]/1000</f>
        <v>0</v>
      </c>
      <c r="AB119" s="118">
        <f>Table14[[#This Row],[Weight/KYD]]*Table14[[#This Row],[D10]]</f>
        <v>0</v>
      </c>
      <c r="AC119" s="177"/>
      <c r="AD119" s="118">
        <v>1</v>
      </c>
    </row>
    <row r="120" spans="1:30" ht="18.5" x14ac:dyDescent="0.45">
      <c r="A120" s="189" t="s">
        <v>34</v>
      </c>
      <c r="B120" s="18">
        <f t="shared" si="4"/>
        <v>108</v>
      </c>
      <c r="C120" s="21" t="s">
        <v>223</v>
      </c>
      <c r="D120" s="21" t="s">
        <v>211</v>
      </c>
      <c r="E120" s="21" t="s">
        <v>19</v>
      </c>
      <c r="F120" s="21">
        <v>500</v>
      </c>
      <c r="G120" s="22" t="s">
        <v>80</v>
      </c>
      <c r="H120" s="22">
        <v>95</v>
      </c>
      <c r="I120" s="20"/>
      <c r="J120" s="44">
        <f>Table1[[#This Row],[B]]</f>
        <v>0</v>
      </c>
      <c r="K120" s="44">
        <f>Table1[[#This Row],[BE]]</f>
        <v>0</v>
      </c>
      <c r="L120" s="44">
        <f>Table1[[#This Row],[G]]</f>
        <v>0</v>
      </c>
      <c r="M120" s="44">
        <f>Table1[[#This Row],[J]]</f>
        <v>0</v>
      </c>
      <c r="N120" s="193">
        <f>Table1[[#This Row],[N]]</f>
        <v>0</v>
      </c>
      <c r="O120" s="44">
        <f>Table1[[#This Row],[R]]</f>
        <v>0</v>
      </c>
      <c r="P120" s="44">
        <f>Table1[[#This Row],[V]]</f>
        <v>0</v>
      </c>
      <c r="Q120" s="193">
        <f>Table1[[#This Row],[VJ]]</f>
        <v>0</v>
      </c>
      <c r="R120" s="44">
        <f>Table1[[#This Row],[RN]]</f>
        <v>0</v>
      </c>
      <c r="S120" s="44">
        <f>Table1[[#This Row],[Blank]]</f>
        <v>0</v>
      </c>
      <c r="T120" s="105">
        <f>SUM(Table14[[#This Row],[B]:[Blank]])</f>
        <v>0</v>
      </c>
      <c r="U120" s="116">
        <v>0.94333333333333336</v>
      </c>
      <c r="V120" s="118">
        <f t="shared" si="3"/>
        <v>0</v>
      </c>
      <c r="W120" s="118">
        <f>Table14[[#This Row],[SIZE]]*8.89/1000</f>
        <v>0.84455000000000002</v>
      </c>
      <c r="X120" s="118">
        <f>Table14[[#This Row],[Coil Size]]*Table14[[#This Row],[D10]]/1000*VLOOKUP(Table14[[#This Row],[Navision Code]],'TABULAR PRICE LIST'!A:L,11,FALSE)</f>
        <v>0</v>
      </c>
      <c r="Y120" s="118">
        <f>IFERROR(Table14[[#This Row],[Coil Size]]*Table14[[#This Row],[D10]]/1000*VLOOKUP(Table14[[#This Row],[Navision Code]],'TABULAR PRICE LIST'!A:L,10,FALSE),0)</f>
        <v>0</v>
      </c>
      <c r="Z120" s="118">
        <f>VLOOKUP(C120,'TABULAR PRICE LIST'!$A:$L,12,FALSE)</f>
        <v>20943</v>
      </c>
      <c r="AA120" s="118">
        <f>Table14[[#This Row],[Coil Size]]*Table14[[#This Row],[D10]]/1000</f>
        <v>0</v>
      </c>
      <c r="AB120" s="118">
        <f>Table14[[#This Row],[Weight/KYD]]*Table14[[#This Row],[D10]]</f>
        <v>0</v>
      </c>
      <c r="AC120" s="177"/>
      <c r="AD120" s="118">
        <v>1</v>
      </c>
    </row>
    <row r="121" spans="1:30" ht="18.5" x14ac:dyDescent="0.45">
      <c r="A121" s="189" t="s">
        <v>34</v>
      </c>
      <c r="B121" s="18">
        <f t="shared" si="4"/>
        <v>109</v>
      </c>
      <c r="C121" s="21" t="s">
        <v>224</v>
      </c>
      <c r="D121" s="21" t="s">
        <v>211</v>
      </c>
      <c r="E121" s="21" t="s">
        <v>19</v>
      </c>
      <c r="F121" s="21">
        <v>500</v>
      </c>
      <c r="G121" s="22" t="s">
        <v>80</v>
      </c>
      <c r="H121" s="22">
        <v>120</v>
      </c>
      <c r="I121" s="20"/>
      <c r="J121" s="44">
        <f>Table1[[#This Row],[B]]</f>
        <v>0</v>
      </c>
      <c r="K121" s="44">
        <f>Table1[[#This Row],[BE]]</f>
        <v>0</v>
      </c>
      <c r="L121" s="44">
        <f>Table1[[#This Row],[G]]</f>
        <v>0</v>
      </c>
      <c r="M121" s="44">
        <f>Table1[[#This Row],[J]]</f>
        <v>0</v>
      </c>
      <c r="N121" s="193">
        <f>Table1[[#This Row],[N]]</f>
        <v>0</v>
      </c>
      <c r="O121" s="44">
        <f>Table1[[#This Row],[R]]</f>
        <v>0</v>
      </c>
      <c r="P121" s="44">
        <f>Table1[[#This Row],[V]]</f>
        <v>0</v>
      </c>
      <c r="Q121" s="193">
        <f>Table1[[#This Row],[VJ]]</f>
        <v>0</v>
      </c>
      <c r="R121" s="44">
        <f>Table1[[#This Row],[RN]]</f>
        <v>0</v>
      </c>
      <c r="S121" s="44">
        <f>Table1[[#This Row],[Blank]]</f>
        <v>0</v>
      </c>
      <c r="T121" s="105">
        <f>SUM(Table14[[#This Row],[B]:[Blank]])</f>
        <v>0</v>
      </c>
      <c r="U121" s="116">
        <v>1.2538095238095237</v>
      </c>
      <c r="V121" s="118">
        <f t="shared" si="3"/>
        <v>0</v>
      </c>
      <c r="W121" s="118">
        <f>Table14[[#This Row],[SIZE]]*8.89/1000</f>
        <v>1.0668000000000002</v>
      </c>
      <c r="X121" s="118">
        <f>Table14[[#This Row],[Coil Size]]*Table14[[#This Row],[D10]]/1000*VLOOKUP(Table14[[#This Row],[Navision Code]],'TABULAR PRICE LIST'!A:L,11,FALSE)</f>
        <v>0</v>
      </c>
      <c r="Y121" s="118">
        <f>IFERROR(Table14[[#This Row],[Coil Size]]*Table14[[#This Row],[D10]]/1000*VLOOKUP(Table14[[#This Row],[Navision Code]],'TABULAR PRICE LIST'!A:L,10,FALSE),0)</f>
        <v>0</v>
      </c>
      <c r="Z121" s="118">
        <f>VLOOKUP(C121,'TABULAR PRICE LIST'!$A:$L,12,FALSE)</f>
        <v>26463</v>
      </c>
      <c r="AA121" s="118">
        <f>Table14[[#This Row],[Coil Size]]*Table14[[#This Row],[D10]]/1000</f>
        <v>0</v>
      </c>
      <c r="AB121" s="118">
        <f>Table14[[#This Row],[Weight/KYD]]*Table14[[#This Row],[D10]]</f>
        <v>0</v>
      </c>
      <c r="AC121" s="177"/>
      <c r="AD121" s="118">
        <v>1</v>
      </c>
    </row>
    <row r="122" spans="1:30" ht="18.5" x14ac:dyDescent="0.45">
      <c r="A122" s="189" t="s">
        <v>34</v>
      </c>
      <c r="B122" s="18">
        <f t="shared" si="4"/>
        <v>110</v>
      </c>
      <c r="C122" s="21" t="s">
        <v>225</v>
      </c>
      <c r="D122" s="21" t="s">
        <v>211</v>
      </c>
      <c r="E122" s="21" t="s">
        <v>19</v>
      </c>
      <c r="F122" s="21">
        <v>500</v>
      </c>
      <c r="G122" s="22" t="s">
        <v>80</v>
      </c>
      <c r="H122" s="22">
        <v>150</v>
      </c>
      <c r="I122" s="20"/>
      <c r="J122" s="44">
        <f>Table1[[#This Row],[B]]</f>
        <v>0</v>
      </c>
      <c r="K122" s="44">
        <f>Table1[[#This Row],[BE]]</f>
        <v>0</v>
      </c>
      <c r="L122" s="44">
        <f>Table1[[#This Row],[G]]</f>
        <v>0</v>
      </c>
      <c r="M122" s="44">
        <f>Table1[[#This Row],[J]]</f>
        <v>0</v>
      </c>
      <c r="N122" s="193">
        <f>Table1[[#This Row],[N]]</f>
        <v>0</v>
      </c>
      <c r="O122" s="44">
        <f>Table1[[#This Row],[R]]</f>
        <v>0</v>
      </c>
      <c r="P122" s="44">
        <f>Table1[[#This Row],[V]]</f>
        <v>0</v>
      </c>
      <c r="Q122" s="193">
        <f>Table1[[#This Row],[VJ]]</f>
        <v>0</v>
      </c>
      <c r="R122" s="44">
        <f>Table1[[#This Row],[RN]]</f>
        <v>0</v>
      </c>
      <c r="S122" s="44">
        <f>Table1[[#This Row],[Blank]]</f>
        <v>0</v>
      </c>
      <c r="T122" s="105">
        <f>SUM(Table14[[#This Row],[B]:[Blank]])</f>
        <v>0</v>
      </c>
      <c r="U122" s="116">
        <v>1.5</v>
      </c>
      <c r="V122" s="118">
        <f t="shared" si="3"/>
        <v>0</v>
      </c>
      <c r="W122" s="118">
        <f>Table14[[#This Row],[SIZE]]*8.89/1000</f>
        <v>1.3334999999999999</v>
      </c>
      <c r="X122" s="118">
        <f>Table14[[#This Row],[Coil Size]]*Table14[[#This Row],[D10]]/1000*VLOOKUP(Table14[[#This Row],[Navision Code]],'TABULAR PRICE LIST'!A:L,11,FALSE)</f>
        <v>0</v>
      </c>
      <c r="Y122" s="118">
        <f>IFERROR(Table14[[#This Row],[Coil Size]]*Table14[[#This Row],[D10]]/1000*VLOOKUP(Table14[[#This Row],[Navision Code]],'TABULAR PRICE LIST'!A:L,10,FALSE),0)</f>
        <v>0</v>
      </c>
      <c r="Z122" s="118">
        <f>VLOOKUP(C122,'TABULAR PRICE LIST'!$A:$L,12,FALSE)</f>
        <v>31895</v>
      </c>
      <c r="AA122" s="118">
        <f>Table14[[#This Row],[Coil Size]]*Table14[[#This Row],[D10]]/1000</f>
        <v>0</v>
      </c>
      <c r="AB122" s="118">
        <f>Table14[[#This Row],[Weight/KYD]]*Table14[[#This Row],[D10]]</f>
        <v>0</v>
      </c>
      <c r="AC122" s="177"/>
      <c r="AD122" s="118">
        <v>1</v>
      </c>
    </row>
    <row r="123" spans="1:30" ht="18.5" x14ac:dyDescent="0.45">
      <c r="A123" s="189" t="s">
        <v>34</v>
      </c>
      <c r="B123" s="18">
        <f t="shared" si="4"/>
        <v>111</v>
      </c>
      <c r="C123" s="21" t="s">
        <v>226</v>
      </c>
      <c r="D123" s="21" t="s">
        <v>211</v>
      </c>
      <c r="E123" s="21" t="s">
        <v>19</v>
      </c>
      <c r="F123" s="21">
        <v>500</v>
      </c>
      <c r="G123" s="22" t="s">
        <v>80</v>
      </c>
      <c r="H123" s="22">
        <v>185</v>
      </c>
      <c r="I123" s="20"/>
      <c r="J123" s="44">
        <f>Table1[[#This Row],[B]]</f>
        <v>0</v>
      </c>
      <c r="K123" s="44">
        <f>Table1[[#This Row],[BE]]</f>
        <v>0</v>
      </c>
      <c r="L123" s="44">
        <f>Table1[[#This Row],[G]]</f>
        <v>0</v>
      </c>
      <c r="M123" s="44">
        <f>Table1[[#This Row],[J]]</f>
        <v>0</v>
      </c>
      <c r="N123" s="193">
        <f>Table1[[#This Row],[N]]</f>
        <v>0</v>
      </c>
      <c r="O123" s="44">
        <f>Table1[[#This Row],[R]]</f>
        <v>0</v>
      </c>
      <c r="P123" s="44">
        <f>Table1[[#This Row],[V]]</f>
        <v>0</v>
      </c>
      <c r="Q123" s="193">
        <f>Table1[[#This Row],[VJ]]</f>
        <v>0</v>
      </c>
      <c r="R123" s="44">
        <f>Table1[[#This Row],[RN]]</f>
        <v>0</v>
      </c>
      <c r="S123" s="44">
        <f>Table1[[#This Row],[Blank]]</f>
        <v>0</v>
      </c>
      <c r="T123" s="105">
        <f>SUM(Table14[[#This Row],[B]:[Blank]])</f>
        <v>0</v>
      </c>
      <c r="U123" s="116">
        <v>1.86</v>
      </c>
      <c r="V123" s="118">
        <f t="shared" si="3"/>
        <v>0</v>
      </c>
      <c r="W123" s="118">
        <f>Table14[[#This Row],[SIZE]]*8.89/1000</f>
        <v>1.6446500000000002</v>
      </c>
      <c r="X123" s="118">
        <f>Table14[[#This Row],[Coil Size]]*Table14[[#This Row],[D10]]/1000*VLOOKUP(Table14[[#This Row],[Navision Code]],'TABULAR PRICE LIST'!A:L,11,FALSE)</f>
        <v>0</v>
      </c>
      <c r="Y123" s="118">
        <f>IFERROR(Table14[[#This Row],[Coil Size]]*Table14[[#This Row],[D10]]/1000*VLOOKUP(Table14[[#This Row],[Navision Code]],'TABULAR PRICE LIST'!A:L,10,FALSE),0)</f>
        <v>0</v>
      </c>
      <c r="Z123" s="118">
        <f>VLOOKUP(C123,'TABULAR PRICE LIST'!$A:$L,12,FALSE)</f>
        <v>42011</v>
      </c>
      <c r="AA123" s="118">
        <f>Table14[[#This Row],[Coil Size]]*Table14[[#This Row],[D10]]/1000</f>
        <v>0</v>
      </c>
      <c r="AB123" s="118">
        <f>Table14[[#This Row],[Weight/KYD]]*Table14[[#This Row],[D10]]</f>
        <v>0</v>
      </c>
      <c r="AC123" s="177"/>
      <c r="AD123" s="118">
        <v>1</v>
      </c>
    </row>
    <row r="124" spans="1:30" thickBot="1" x14ac:dyDescent="0.5">
      <c r="A124" s="189" t="s">
        <v>34</v>
      </c>
      <c r="B124" s="23">
        <f t="shared" si="4"/>
        <v>112</v>
      </c>
      <c r="C124" s="30" t="s">
        <v>227</v>
      </c>
      <c r="D124" s="30" t="s">
        <v>211</v>
      </c>
      <c r="E124" s="30" t="s">
        <v>19</v>
      </c>
      <c r="F124" s="30">
        <v>1000</v>
      </c>
      <c r="G124" s="31" t="s">
        <v>80</v>
      </c>
      <c r="H124" s="31">
        <v>240</v>
      </c>
      <c r="I124" s="25"/>
      <c r="J124" s="46">
        <f>Table1[[#This Row],[B]]</f>
        <v>0</v>
      </c>
      <c r="K124" s="46">
        <f>Table1[[#This Row],[BE]]</f>
        <v>0</v>
      </c>
      <c r="L124" s="46">
        <f>Table1[[#This Row],[G]]</f>
        <v>0</v>
      </c>
      <c r="M124" s="46">
        <f>Table1[[#This Row],[J]]</f>
        <v>0</v>
      </c>
      <c r="N124" s="195">
        <f>Table1[[#This Row],[N]]</f>
        <v>0</v>
      </c>
      <c r="O124" s="46">
        <f>Table1[[#This Row],[R]]</f>
        <v>0</v>
      </c>
      <c r="P124" s="46">
        <f>Table1[[#This Row],[V]]</f>
        <v>0</v>
      </c>
      <c r="Q124" s="195">
        <f>Table1[[#This Row],[VJ]]</f>
        <v>0</v>
      </c>
      <c r="R124" s="46">
        <f>Table1[[#This Row],[RN]]</f>
        <v>0</v>
      </c>
      <c r="S124" s="46">
        <f>Table1[[#This Row],[Blank]]</f>
        <v>0</v>
      </c>
      <c r="T124" s="106">
        <f>SUM(Table14[[#This Row],[B]:[Blank]])</f>
        <v>0</v>
      </c>
      <c r="U124" s="119">
        <v>2.4873611820623678</v>
      </c>
      <c r="V124" s="120">
        <f t="shared" si="3"/>
        <v>0</v>
      </c>
      <c r="W124" s="120">
        <f>Table14[[#This Row],[SIZE]]*8.89/1000</f>
        <v>2.1336000000000004</v>
      </c>
      <c r="X124" s="120">
        <f>Table14[[#This Row],[Coil Size]]*Table14[[#This Row],[D10]]/1000*VLOOKUP(Table14[[#This Row],[Navision Code]],'TABULAR PRICE LIST'!A:L,11,FALSE)</f>
        <v>0</v>
      </c>
      <c r="Y124" s="120">
        <f>IFERROR(Table14[[#This Row],[Coil Size]]*Table14[[#This Row],[D10]]/1000*VLOOKUP(Table14[[#This Row],[Navision Code]],'TABULAR PRICE LIST'!A:L,10,FALSE),0)</f>
        <v>0</v>
      </c>
      <c r="Z124" s="120">
        <f>VLOOKUP(C124,'TABULAR PRICE LIST'!$A:$L,12,FALSE)</f>
        <v>51937</v>
      </c>
      <c r="AA124" s="120">
        <f>Table14[[#This Row],[Coil Size]]*Table14[[#This Row],[D10]]/1000</f>
        <v>0</v>
      </c>
      <c r="AB124" s="120">
        <f>Table14[[#This Row],[Weight/KYD]]*Table14[[#This Row],[D10]]</f>
        <v>0</v>
      </c>
      <c r="AC124" s="177"/>
      <c r="AD124" s="120">
        <v>1</v>
      </c>
    </row>
    <row r="125" spans="1:30" ht="18.5" x14ac:dyDescent="0.45">
      <c r="A125" s="189" t="s">
        <v>34</v>
      </c>
      <c r="B125" s="15">
        <f t="shared" si="4"/>
        <v>113</v>
      </c>
      <c r="C125" s="38" t="s">
        <v>156</v>
      </c>
      <c r="D125" s="38" t="s">
        <v>211</v>
      </c>
      <c r="E125" s="38" t="s">
        <v>19</v>
      </c>
      <c r="F125" s="38">
        <v>1000</v>
      </c>
      <c r="G125" s="39" t="s">
        <v>157</v>
      </c>
      <c r="H125" s="39" t="s">
        <v>158</v>
      </c>
      <c r="I125" s="17"/>
      <c r="J125" s="42">
        <f>Table1[[#This Row],[B]]</f>
        <v>0</v>
      </c>
      <c r="K125" s="42">
        <f>Table1[[#This Row],[BE]]</f>
        <v>0</v>
      </c>
      <c r="L125" s="42">
        <f>Table1[[#This Row],[G]]</f>
        <v>0</v>
      </c>
      <c r="M125" s="42">
        <f>Table1[[#This Row],[J]]</f>
        <v>0</v>
      </c>
      <c r="N125" s="190">
        <f>Table1[[#This Row],[N]]</f>
        <v>0</v>
      </c>
      <c r="O125" s="42">
        <f>Table1[[#This Row],[R]]</f>
        <v>0</v>
      </c>
      <c r="P125" s="42">
        <f>Table1[[#This Row],[V]]</f>
        <v>0</v>
      </c>
      <c r="Q125" s="42">
        <f>Table1[[#This Row],[VJ]]</f>
        <v>0</v>
      </c>
      <c r="R125" s="42">
        <f>Table1[[#This Row],[RN]]</f>
        <v>0</v>
      </c>
      <c r="S125" s="42">
        <f>Table1[[#This Row],[Blank]]</f>
        <v>0</v>
      </c>
      <c r="T125" s="109">
        <f>SUM(Table14[[#This Row],[B]:[Blank]])</f>
        <v>0</v>
      </c>
      <c r="U125" s="114">
        <v>0.11700000000000001</v>
      </c>
      <c r="V125" s="115">
        <f t="shared" si="3"/>
        <v>0</v>
      </c>
      <c r="W125" s="191">
        <v>26.16</v>
      </c>
      <c r="X125" s="113">
        <f>Table14[[#This Row],[Coil Size]]*Table14[[#This Row],[D10]]/1000*VLOOKUP(Table14[[#This Row],[Navision Code]],'TABULAR PRICE LIST'!A:L,11,FALSE)</f>
        <v>0</v>
      </c>
      <c r="Y125" s="113">
        <f>IFERROR(Table14[[#This Row],[Coil Size]]*Table14[[#This Row],[D10]]/1000*VLOOKUP(Table14[[#This Row],[Navision Code]],'TABULAR PRICE LIST'!A:L,10,FALSE),0)</f>
        <v>0</v>
      </c>
      <c r="Z125" s="113">
        <f>VLOOKUP(C125,'TABULAR PRICE LIST'!$A:$L,12,FALSE)</f>
        <v>1111</v>
      </c>
      <c r="AA125" s="113">
        <f>Table14[[#This Row],[Coil Size]]*Table14[[#This Row],[D10]]/1000</f>
        <v>0</v>
      </c>
      <c r="AB125" s="191">
        <f>Table14[[#This Row],[Weight/KYD]]*Table14[[#This Row],[D10]]</f>
        <v>0</v>
      </c>
      <c r="AC125" s="177"/>
      <c r="AD125" s="191">
        <v>1</v>
      </c>
    </row>
    <row r="126" spans="1:30" ht="18.5" x14ac:dyDescent="0.45">
      <c r="A126" s="189" t="s">
        <v>34</v>
      </c>
      <c r="B126" s="18">
        <f t="shared" si="4"/>
        <v>114</v>
      </c>
      <c r="C126" s="21" t="s">
        <v>159</v>
      </c>
      <c r="D126" s="21" t="s">
        <v>211</v>
      </c>
      <c r="E126" s="21" t="s">
        <v>19</v>
      </c>
      <c r="F126" s="21">
        <v>1000</v>
      </c>
      <c r="G126" s="22" t="s">
        <v>157</v>
      </c>
      <c r="H126" s="22" t="s">
        <v>160</v>
      </c>
      <c r="I126" s="20"/>
      <c r="J126" s="44">
        <f>Table1[[#This Row],[B]]</f>
        <v>0</v>
      </c>
      <c r="K126" s="44">
        <f>Table1[[#This Row],[BE]]</f>
        <v>0</v>
      </c>
      <c r="L126" s="44">
        <f>Table1[[#This Row],[G]]</f>
        <v>0</v>
      </c>
      <c r="M126" s="44">
        <f>Table1[[#This Row],[J]]</f>
        <v>0</v>
      </c>
      <c r="N126" s="193">
        <f>Table1[[#This Row],[N]]</f>
        <v>0</v>
      </c>
      <c r="O126" s="44">
        <f>Table1[[#This Row],[R]]</f>
        <v>0</v>
      </c>
      <c r="P126" s="44">
        <f>Table1[[#This Row],[V]]</f>
        <v>0</v>
      </c>
      <c r="Q126" s="44">
        <f>Table1[[#This Row],[VJ]]</f>
        <v>0</v>
      </c>
      <c r="R126" s="44">
        <f>Table1[[#This Row],[RN]]</f>
        <v>0</v>
      </c>
      <c r="S126" s="44">
        <f>Table1[[#This Row],[Blank]]</f>
        <v>0</v>
      </c>
      <c r="T126" s="105">
        <f>SUM(Table14[[#This Row],[B]:[Blank]])</f>
        <v>0</v>
      </c>
      <c r="U126" s="116">
        <v>0.16</v>
      </c>
      <c r="V126" s="118">
        <f t="shared" si="3"/>
        <v>0</v>
      </c>
      <c r="W126" s="111">
        <v>43.53</v>
      </c>
      <c r="X126" s="111">
        <f>Table14[[#This Row],[Coil Size]]*Table14[[#This Row],[D10]]/1000*VLOOKUP(Table14[[#This Row],[Navision Code]],'TABULAR PRICE LIST'!A:L,11,FALSE)</f>
        <v>0</v>
      </c>
      <c r="Y126" s="111">
        <f>IFERROR(Table14[[#This Row],[Coil Size]]*Table14[[#This Row],[D10]]/1000*VLOOKUP(Table14[[#This Row],[Navision Code]],'TABULAR PRICE LIST'!A:L,10,FALSE),0)</f>
        <v>0</v>
      </c>
      <c r="Z126" s="111">
        <f>VLOOKUP(C126,'TABULAR PRICE LIST'!$A:$L,12,FALSE)</f>
        <v>1725</v>
      </c>
      <c r="AA126" s="111">
        <f>Table14[[#This Row],[Coil Size]]*Table14[[#This Row],[D10]]/1000</f>
        <v>0</v>
      </c>
      <c r="AB126" s="111">
        <f>Table14[[#This Row],[Weight/KYD]]*Table14[[#This Row],[D10]]</f>
        <v>0</v>
      </c>
      <c r="AC126" s="177"/>
      <c r="AD126" s="111">
        <v>1</v>
      </c>
    </row>
    <row r="127" spans="1:30" ht="18.5" x14ac:dyDescent="0.45">
      <c r="A127" s="189" t="s">
        <v>34</v>
      </c>
      <c r="B127" s="18">
        <f t="shared" si="4"/>
        <v>115</v>
      </c>
      <c r="C127" s="21" t="s">
        <v>161</v>
      </c>
      <c r="D127" s="21" t="s">
        <v>211</v>
      </c>
      <c r="E127" s="21" t="s">
        <v>19</v>
      </c>
      <c r="F127" s="21">
        <v>1000</v>
      </c>
      <c r="G127" s="22" t="s">
        <v>157</v>
      </c>
      <c r="H127" s="22" t="s">
        <v>132</v>
      </c>
      <c r="I127" s="20"/>
      <c r="J127" s="44">
        <f>Table1[[#This Row],[B]]</f>
        <v>0</v>
      </c>
      <c r="K127" s="44">
        <f>Table1[[#This Row],[BE]]</f>
        <v>0</v>
      </c>
      <c r="L127" s="44">
        <f>Table1[[#This Row],[G]]</f>
        <v>0</v>
      </c>
      <c r="M127" s="44">
        <f>Table1[[#This Row],[J]]</f>
        <v>0</v>
      </c>
      <c r="N127" s="193">
        <f>Table1[[#This Row],[N]]</f>
        <v>0</v>
      </c>
      <c r="O127" s="44">
        <f>Table1[[#This Row],[R]]</f>
        <v>0</v>
      </c>
      <c r="P127" s="44">
        <f>Table1[[#This Row],[V]]</f>
        <v>0</v>
      </c>
      <c r="Q127" s="44">
        <f>Table1[[#This Row],[VJ]]</f>
        <v>0</v>
      </c>
      <c r="R127" s="44">
        <f>Table1[[#This Row],[RN]]</f>
        <v>0</v>
      </c>
      <c r="S127" s="44">
        <f>Table1[[#This Row],[Blank]]</f>
        <v>0</v>
      </c>
      <c r="T127" s="105">
        <f>SUM(Table14[[#This Row],[B]:[Blank]])</f>
        <v>0</v>
      </c>
      <c r="U127" s="116">
        <v>0.2</v>
      </c>
      <c r="V127" s="118">
        <f t="shared" si="3"/>
        <v>0</v>
      </c>
      <c r="W127" s="111">
        <v>68.38</v>
      </c>
      <c r="X127" s="111">
        <f>Table14[[#This Row],[Coil Size]]*Table14[[#This Row],[D10]]/1000*VLOOKUP(Table14[[#This Row],[Navision Code]],'TABULAR PRICE LIST'!A:L,11,FALSE)</f>
        <v>0</v>
      </c>
      <c r="Y127" s="111">
        <f>IFERROR(Table14[[#This Row],[Coil Size]]*Table14[[#This Row],[D10]]/1000*VLOOKUP(Table14[[#This Row],[Navision Code]],'TABULAR PRICE LIST'!A:L,10,FALSE),0)</f>
        <v>0</v>
      </c>
      <c r="Z127" s="111">
        <f>VLOOKUP(C127,'TABULAR PRICE LIST'!$A:$L,12,FALSE)</f>
        <v>2338</v>
      </c>
      <c r="AA127" s="111">
        <f>Table14[[#This Row],[Coil Size]]*Table14[[#This Row],[D10]]/1000</f>
        <v>0</v>
      </c>
      <c r="AB127" s="111">
        <f>Table14[[#This Row],[Weight/KYD]]*Table14[[#This Row],[D10]]</f>
        <v>0</v>
      </c>
      <c r="AC127" s="177"/>
      <c r="AD127" s="111">
        <v>1</v>
      </c>
    </row>
    <row r="128" spans="1:30" ht="18.5" x14ac:dyDescent="0.45">
      <c r="A128" s="189" t="s">
        <v>34</v>
      </c>
      <c r="B128" s="18">
        <f t="shared" si="4"/>
        <v>116</v>
      </c>
      <c r="C128" s="21" t="s">
        <v>162</v>
      </c>
      <c r="D128" s="21" t="s">
        <v>211</v>
      </c>
      <c r="E128" s="21" t="s">
        <v>19</v>
      </c>
      <c r="F128" s="21">
        <v>1000</v>
      </c>
      <c r="G128" s="22" t="s">
        <v>157</v>
      </c>
      <c r="H128" s="22" t="s">
        <v>134</v>
      </c>
      <c r="I128" s="20"/>
      <c r="J128" s="44">
        <f>Table1[[#This Row],[B]]</f>
        <v>0</v>
      </c>
      <c r="K128" s="44">
        <f>Table1[[#This Row],[BE]]</f>
        <v>0</v>
      </c>
      <c r="L128" s="44">
        <f>Table1[[#This Row],[G]]</f>
        <v>0</v>
      </c>
      <c r="M128" s="44">
        <f>Table1[[#This Row],[J]]</f>
        <v>0</v>
      </c>
      <c r="N128" s="193">
        <f>Table1[[#This Row],[N]]</f>
        <v>0</v>
      </c>
      <c r="O128" s="44">
        <f>Table1[[#This Row],[R]]</f>
        <v>0</v>
      </c>
      <c r="P128" s="44">
        <f>Table1[[#This Row],[V]]</f>
        <v>0</v>
      </c>
      <c r="Q128" s="44">
        <f>Table1[[#This Row],[VJ]]</f>
        <v>0</v>
      </c>
      <c r="R128" s="44">
        <f>Table1[[#This Row],[RN]]</f>
        <v>0</v>
      </c>
      <c r="S128" s="44">
        <f>Table1[[#This Row],[Blank]]</f>
        <v>0</v>
      </c>
      <c r="T128" s="105">
        <f>SUM(Table14[[#This Row],[B]:[Blank]])</f>
        <v>0</v>
      </c>
      <c r="U128" s="116">
        <v>0.26200000000000001</v>
      </c>
      <c r="V128" s="118">
        <f t="shared" si="3"/>
        <v>0</v>
      </c>
      <c r="W128" s="111">
        <v>102</v>
      </c>
      <c r="X128" s="111">
        <f>Table14[[#This Row],[Coil Size]]*Table14[[#This Row],[D10]]/1000*VLOOKUP(Table14[[#This Row],[Navision Code]],'TABULAR PRICE LIST'!A:L,11,FALSE)</f>
        <v>0</v>
      </c>
      <c r="Y128" s="111">
        <f>IFERROR(Table14[[#This Row],[Coil Size]]*Table14[[#This Row],[D10]]/1000*VLOOKUP(Table14[[#This Row],[Navision Code]],'TABULAR PRICE LIST'!A:L,10,FALSE),0)</f>
        <v>0</v>
      </c>
      <c r="Z128" s="111">
        <f>VLOOKUP(C128,'TABULAR PRICE LIST'!$A:$L,12,FALSE)</f>
        <v>3051</v>
      </c>
      <c r="AA128" s="111">
        <f>Table14[[#This Row],[Coil Size]]*Table14[[#This Row],[D10]]/1000</f>
        <v>0</v>
      </c>
      <c r="AB128" s="111">
        <f>Table14[[#This Row],[Weight/KYD]]*Table14[[#This Row],[D10]]</f>
        <v>0</v>
      </c>
      <c r="AC128" s="177"/>
      <c r="AD128" s="111">
        <v>1</v>
      </c>
    </row>
    <row r="129" spans="1:30" ht="18.5" x14ac:dyDescent="0.45">
      <c r="A129" s="189" t="s">
        <v>34</v>
      </c>
      <c r="B129" s="18">
        <f t="shared" si="4"/>
        <v>117</v>
      </c>
      <c r="C129" s="21" t="s">
        <v>163</v>
      </c>
      <c r="D129" s="21" t="s">
        <v>211</v>
      </c>
      <c r="E129" s="21" t="s">
        <v>19</v>
      </c>
      <c r="F129" s="21">
        <v>1000</v>
      </c>
      <c r="G129" s="22" t="s">
        <v>157</v>
      </c>
      <c r="H129" s="22" t="s">
        <v>164</v>
      </c>
      <c r="I129" s="20"/>
      <c r="J129" s="44">
        <f>Table1[[#This Row],[B]]</f>
        <v>0</v>
      </c>
      <c r="K129" s="44">
        <f>Table1[[#This Row],[BE]]</f>
        <v>0</v>
      </c>
      <c r="L129" s="44">
        <f>Table1[[#This Row],[G]]</f>
        <v>0</v>
      </c>
      <c r="M129" s="44">
        <f>Table1[[#This Row],[J]]</f>
        <v>0</v>
      </c>
      <c r="N129" s="193">
        <f>Table1[[#This Row],[N]]</f>
        <v>0</v>
      </c>
      <c r="O129" s="44">
        <f>Table1[[#This Row],[R]]</f>
        <v>0</v>
      </c>
      <c r="P129" s="44">
        <f>Table1[[#This Row],[V]]</f>
        <v>0</v>
      </c>
      <c r="Q129" s="44">
        <f>Table1[[#This Row],[VJ]]</f>
        <v>0</v>
      </c>
      <c r="R129" s="44">
        <f>Table1[[#This Row],[RN]]</f>
        <v>0</v>
      </c>
      <c r="S129" s="44">
        <f>Table1[[#This Row],[Blank]]</f>
        <v>0</v>
      </c>
      <c r="T129" s="105">
        <f>SUM(Table14[[#This Row],[B]:[Blank]])</f>
        <v>0</v>
      </c>
      <c r="U129" s="116">
        <v>0.13</v>
      </c>
      <c r="V129" s="118">
        <f t="shared" si="3"/>
        <v>0</v>
      </c>
      <c r="W129" s="111">
        <v>39.24</v>
      </c>
      <c r="X129" s="111">
        <f>Table14[[#This Row],[Coil Size]]*Table14[[#This Row],[D10]]/1000*VLOOKUP(Table14[[#This Row],[Navision Code]],'TABULAR PRICE LIST'!A:L,11,FALSE)</f>
        <v>0</v>
      </c>
      <c r="Y129" s="111">
        <f>IFERROR(Table14[[#This Row],[Coil Size]]*Table14[[#This Row],[D10]]/1000*VLOOKUP(Table14[[#This Row],[Navision Code]],'TABULAR PRICE LIST'!A:L,10,FALSE),0)</f>
        <v>0</v>
      </c>
      <c r="Z129" s="111">
        <f>VLOOKUP(C129,'TABULAR PRICE LIST'!$A:$L,12,FALSE)</f>
        <v>1461</v>
      </c>
      <c r="AA129" s="111">
        <f>Table14[[#This Row],[Coil Size]]*Table14[[#This Row],[D10]]/1000</f>
        <v>0</v>
      </c>
      <c r="AB129" s="111">
        <f>Table14[[#This Row],[Weight/KYD]]*Table14[[#This Row],[D10]]</f>
        <v>0</v>
      </c>
      <c r="AC129" s="177"/>
      <c r="AD129" s="111">
        <v>1</v>
      </c>
    </row>
    <row r="130" spans="1:30" ht="18.5" x14ac:dyDescent="0.45">
      <c r="A130" s="189" t="s">
        <v>34</v>
      </c>
      <c r="B130" s="18">
        <f t="shared" si="4"/>
        <v>118</v>
      </c>
      <c r="C130" s="21" t="s">
        <v>18</v>
      </c>
      <c r="D130" s="21" t="s">
        <v>211</v>
      </c>
      <c r="E130" s="21" t="s">
        <v>19</v>
      </c>
      <c r="F130" s="21">
        <v>1000</v>
      </c>
      <c r="G130" s="22" t="s">
        <v>157</v>
      </c>
      <c r="H130" s="22" t="s">
        <v>165</v>
      </c>
      <c r="I130" s="20"/>
      <c r="J130" s="44">
        <f>Table1[[#This Row],[B]]</f>
        <v>0</v>
      </c>
      <c r="K130" s="44">
        <f>Table1[[#This Row],[BE]]</f>
        <v>0</v>
      </c>
      <c r="L130" s="44">
        <f>Table1[[#This Row],[G]]</f>
        <v>0</v>
      </c>
      <c r="M130" s="44">
        <f>Table1[[#This Row],[J]]</f>
        <v>0</v>
      </c>
      <c r="N130" s="193">
        <f>Table1[[#This Row],[N]]</f>
        <v>0</v>
      </c>
      <c r="O130" s="44">
        <f>Table1[[#This Row],[R]]</f>
        <v>0</v>
      </c>
      <c r="P130" s="44">
        <f>Table1[[#This Row],[V]]</f>
        <v>0</v>
      </c>
      <c r="Q130" s="44">
        <f>Table1[[#This Row],[VJ]]</f>
        <v>0</v>
      </c>
      <c r="R130" s="44">
        <f>Table1[[#This Row],[RN]]</f>
        <v>0</v>
      </c>
      <c r="S130" s="44">
        <f>Table1[[#This Row],[Blank]]</f>
        <v>0</v>
      </c>
      <c r="T130" s="105">
        <f>SUM(Table14[[#This Row],[B]:[Blank]])</f>
        <v>0</v>
      </c>
      <c r="U130" s="116">
        <v>0.18</v>
      </c>
      <c r="V130" s="118">
        <f t="shared" si="3"/>
        <v>0</v>
      </c>
      <c r="W130" s="111">
        <v>65.3</v>
      </c>
      <c r="X130" s="111">
        <f>Table14[[#This Row],[Coil Size]]*Table14[[#This Row],[D10]]/1000*VLOOKUP(Table14[[#This Row],[Navision Code]],'TABULAR PRICE LIST'!A:L,11,FALSE)</f>
        <v>0</v>
      </c>
      <c r="Y130" s="111">
        <f>IFERROR(Table14[[#This Row],[Coil Size]]*Table14[[#This Row],[D10]]/1000*VLOOKUP(Table14[[#This Row],[Navision Code]],'TABULAR PRICE LIST'!A:L,10,FALSE),0)</f>
        <v>0</v>
      </c>
      <c r="Z130" s="111">
        <f>VLOOKUP(C130,'TABULAR PRICE LIST'!$A:$L,12,FALSE)</f>
        <v>1851</v>
      </c>
      <c r="AA130" s="111">
        <f>Table14[[#This Row],[Coil Size]]*Table14[[#This Row],[D10]]/1000</f>
        <v>0</v>
      </c>
      <c r="AB130" s="111">
        <f>Table14[[#This Row],[Weight/KYD]]*Table14[[#This Row],[D10]]</f>
        <v>0</v>
      </c>
      <c r="AC130" s="177"/>
      <c r="AD130" s="111">
        <v>1</v>
      </c>
    </row>
    <row r="131" spans="1:30" ht="18.5" x14ac:dyDescent="0.45">
      <c r="A131" s="189" t="s">
        <v>34</v>
      </c>
      <c r="B131" s="18">
        <f t="shared" si="4"/>
        <v>119</v>
      </c>
      <c r="C131" s="21" t="s">
        <v>166</v>
      </c>
      <c r="D131" s="21" t="s">
        <v>211</v>
      </c>
      <c r="E131" s="21" t="s">
        <v>19</v>
      </c>
      <c r="F131" s="21">
        <v>1000</v>
      </c>
      <c r="G131" s="22" t="s">
        <v>157</v>
      </c>
      <c r="H131" s="22" t="s">
        <v>142</v>
      </c>
      <c r="I131" s="20"/>
      <c r="J131" s="44">
        <f>Table1[[#This Row],[B]]</f>
        <v>0</v>
      </c>
      <c r="K131" s="44">
        <f>Table1[[#This Row],[BE]]</f>
        <v>0</v>
      </c>
      <c r="L131" s="44">
        <f>Table1[[#This Row],[G]]</f>
        <v>0</v>
      </c>
      <c r="M131" s="44">
        <f>Table1[[#This Row],[J]]</f>
        <v>0</v>
      </c>
      <c r="N131" s="193">
        <f>Table1[[#This Row],[N]]</f>
        <v>0</v>
      </c>
      <c r="O131" s="44">
        <f>Table1[[#This Row],[R]]</f>
        <v>0</v>
      </c>
      <c r="P131" s="44">
        <f>Table1[[#This Row],[V]]</f>
        <v>0</v>
      </c>
      <c r="Q131" s="44">
        <f>Table1[[#This Row],[VJ]]</f>
        <v>0</v>
      </c>
      <c r="R131" s="44">
        <f>Table1[[#This Row],[RN]]</f>
        <v>0</v>
      </c>
      <c r="S131" s="44">
        <f>Table1[[#This Row],[Blank]]</f>
        <v>0</v>
      </c>
      <c r="T131" s="105">
        <f>SUM(Table14[[#This Row],[B]:[Blank]])</f>
        <v>0</v>
      </c>
      <c r="U131" s="116">
        <v>0.26</v>
      </c>
      <c r="V131" s="118">
        <f t="shared" si="3"/>
        <v>0</v>
      </c>
      <c r="W131" s="111">
        <v>102.6</v>
      </c>
      <c r="X131" s="111">
        <f>Table14[[#This Row],[Coil Size]]*Table14[[#This Row],[D10]]/1000*VLOOKUP(Table14[[#This Row],[Navision Code]],'TABULAR PRICE LIST'!A:L,11,FALSE)</f>
        <v>0</v>
      </c>
      <c r="Y131" s="111">
        <f>IFERROR(Table14[[#This Row],[Coil Size]]*Table14[[#This Row],[D10]]/1000*VLOOKUP(Table14[[#This Row],[Navision Code]],'TABULAR PRICE LIST'!A:L,10,FALSE),0)</f>
        <v>0</v>
      </c>
      <c r="Z131" s="111">
        <f>VLOOKUP(C131,'TABULAR PRICE LIST'!$A:$L,12,FALSE)</f>
        <v>2817</v>
      </c>
      <c r="AA131" s="111">
        <f>Table14[[#This Row],[Coil Size]]*Table14[[#This Row],[D10]]/1000</f>
        <v>0</v>
      </c>
      <c r="AB131" s="111">
        <f>Table14[[#This Row],[Weight/KYD]]*Table14[[#This Row],[D10]]</f>
        <v>0</v>
      </c>
      <c r="AC131" s="177"/>
      <c r="AD131" s="111">
        <v>1</v>
      </c>
    </row>
    <row r="132" spans="1:30" ht="18.5" x14ac:dyDescent="0.45">
      <c r="A132" s="189" t="s">
        <v>34</v>
      </c>
      <c r="B132" s="18">
        <f t="shared" si="4"/>
        <v>120</v>
      </c>
      <c r="C132" s="21" t="s">
        <v>167</v>
      </c>
      <c r="D132" s="21" t="s">
        <v>211</v>
      </c>
      <c r="E132" s="21" t="s">
        <v>19</v>
      </c>
      <c r="F132" s="21">
        <v>1000</v>
      </c>
      <c r="G132" s="22" t="s">
        <v>157</v>
      </c>
      <c r="H132" s="22" t="s">
        <v>144</v>
      </c>
      <c r="I132" s="20"/>
      <c r="J132" s="44">
        <f>Table1[[#This Row],[B]]</f>
        <v>0</v>
      </c>
      <c r="K132" s="44">
        <f>Table1[[#This Row],[BE]]</f>
        <v>0</v>
      </c>
      <c r="L132" s="44">
        <f>Table1[[#This Row],[G]]</f>
        <v>0</v>
      </c>
      <c r="M132" s="44">
        <f>Table1[[#This Row],[J]]</f>
        <v>0</v>
      </c>
      <c r="N132" s="193">
        <f>Table1[[#This Row],[N]]</f>
        <v>0</v>
      </c>
      <c r="O132" s="44">
        <f>Table1[[#This Row],[R]]</f>
        <v>0</v>
      </c>
      <c r="P132" s="44">
        <f>Table1[[#This Row],[V]]</f>
        <v>0</v>
      </c>
      <c r="Q132" s="44">
        <f>Table1[[#This Row],[VJ]]</f>
        <v>0</v>
      </c>
      <c r="R132" s="44">
        <f>Table1[[#This Row],[RN]]</f>
        <v>0</v>
      </c>
      <c r="S132" s="44">
        <f>Table1[[#This Row],[Blank]]</f>
        <v>0</v>
      </c>
      <c r="T132" s="105">
        <f>SUM(Table14[[#This Row],[B]:[Blank]])</f>
        <v>0</v>
      </c>
      <c r="U132" s="116">
        <v>0.35</v>
      </c>
      <c r="V132" s="118">
        <f t="shared" si="3"/>
        <v>0</v>
      </c>
      <c r="W132" s="111">
        <v>153</v>
      </c>
      <c r="X132" s="111">
        <f>Table14[[#This Row],[Coil Size]]*Table14[[#This Row],[D10]]/1000*VLOOKUP(Table14[[#This Row],[Navision Code]],'TABULAR PRICE LIST'!A:L,11,FALSE)</f>
        <v>0</v>
      </c>
      <c r="Y132" s="111">
        <f>IFERROR(Table14[[#This Row],[Coil Size]]*Table14[[#This Row],[D10]]/1000*VLOOKUP(Table14[[#This Row],[Navision Code]],'TABULAR PRICE LIST'!A:L,10,FALSE),0)</f>
        <v>0</v>
      </c>
      <c r="Z132" s="111">
        <f>VLOOKUP(C132,'TABULAR PRICE LIST'!$A:$L,12,FALSE)</f>
        <v>4134</v>
      </c>
      <c r="AA132" s="111">
        <f>Table14[[#This Row],[Coil Size]]*Table14[[#This Row],[D10]]/1000</f>
        <v>0</v>
      </c>
      <c r="AB132" s="111">
        <f>Table14[[#This Row],[Weight/KYD]]*Table14[[#This Row],[D10]]</f>
        <v>0</v>
      </c>
      <c r="AC132" s="177"/>
      <c r="AD132" s="111">
        <v>1</v>
      </c>
    </row>
    <row r="133" spans="1:30" ht="18.5" x14ac:dyDescent="0.45">
      <c r="A133" s="189" t="s">
        <v>34</v>
      </c>
      <c r="B133" s="18">
        <f t="shared" si="4"/>
        <v>121</v>
      </c>
      <c r="C133" s="21" t="s">
        <v>168</v>
      </c>
      <c r="D133" s="21" t="s">
        <v>211</v>
      </c>
      <c r="E133" s="21" t="s">
        <v>19</v>
      </c>
      <c r="F133" s="21">
        <v>1000</v>
      </c>
      <c r="G133" s="22" t="s">
        <v>157</v>
      </c>
      <c r="H133" s="22" t="s">
        <v>169</v>
      </c>
      <c r="I133" s="20"/>
      <c r="J133" s="44">
        <f>Table1[[#This Row],[B]]</f>
        <v>0</v>
      </c>
      <c r="K133" s="44">
        <f>Table1[[#This Row],[BE]]</f>
        <v>0</v>
      </c>
      <c r="L133" s="44">
        <f>Table1[[#This Row],[G]]</f>
        <v>0</v>
      </c>
      <c r="M133" s="44">
        <f>Table1[[#This Row],[J]]</f>
        <v>0</v>
      </c>
      <c r="N133" s="193">
        <f>Table1[[#This Row],[N]]</f>
        <v>0</v>
      </c>
      <c r="O133" s="44">
        <f>Table1[[#This Row],[R]]</f>
        <v>0</v>
      </c>
      <c r="P133" s="44">
        <f>Table1[[#This Row],[V]]</f>
        <v>0</v>
      </c>
      <c r="Q133" s="44">
        <f>Table1[[#This Row],[VJ]]</f>
        <v>0</v>
      </c>
      <c r="R133" s="44">
        <f>Table1[[#This Row],[RN]]</f>
        <v>0</v>
      </c>
      <c r="S133" s="44">
        <f>Table1[[#This Row],[Blank]]</f>
        <v>0</v>
      </c>
      <c r="T133" s="105">
        <f>SUM(Table14[[#This Row],[B]:[Blank]])</f>
        <v>0</v>
      </c>
      <c r="U133" s="116">
        <v>0.17</v>
      </c>
      <c r="V133" s="118">
        <f t="shared" si="3"/>
        <v>0</v>
      </c>
      <c r="W133" s="111">
        <v>52.32</v>
      </c>
      <c r="X133" s="111">
        <f>Table14[[#This Row],[Coil Size]]*Table14[[#This Row],[D10]]/1000*VLOOKUP(Table14[[#This Row],[Navision Code]],'TABULAR PRICE LIST'!A:L,11,FALSE)</f>
        <v>0</v>
      </c>
      <c r="Y133" s="111">
        <f>IFERROR(Table14[[#This Row],[Coil Size]]*Table14[[#This Row],[D10]]/1000*VLOOKUP(Table14[[#This Row],[Navision Code]],'TABULAR PRICE LIST'!A:L,10,FALSE),0)</f>
        <v>0</v>
      </c>
      <c r="Z133" s="111">
        <f>VLOOKUP(C133,'TABULAR PRICE LIST'!$A:$L,12,FALSE)</f>
        <v>1914</v>
      </c>
      <c r="AA133" s="111">
        <f>Table14[[#This Row],[Coil Size]]*Table14[[#This Row],[D10]]/1000</f>
        <v>0</v>
      </c>
      <c r="AB133" s="111">
        <f>Table14[[#This Row],[Weight/KYD]]*Table14[[#This Row],[D10]]</f>
        <v>0</v>
      </c>
      <c r="AC133" s="177"/>
      <c r="AD133" s="111">
        <v>1</v>
      </c>
    </row>
    <row r="134" spans="1:30" ht="18.5" x14ac:dyDescent="0.45">
      <c r="A134" s="189" t="s">
        <v>34</v>
      </c>
      <c r="B134" s="18">
        <f t="shared" si="4"/>
        <v>122</v>
      </c>
      <c r="C134" s="21" t="s">
        <v>170</v>
      </c>
      <c r="D134" s="21" t="s">
        <v>211</v>
      </c>
      <c r="E134" s="21" t="s">
        <v>19</v>
      </c>
      <c r="F134" s="21">
        <v>1000</v>
      </c>
      <c r="G134" s="22" t="s">
        <v>157</v>
      </c>
      <c r="H134" s="22" t="s">
        <v>171</v>
      </c>
      <c r="I134" s="20"/>
      <c r="J134" s="44">
        <f>Table1[[#This Row],[B]]</f>
        <v>0</v>
      </c>
      <c r="K134" s="44">
        <f>Table1[[#This Row],[BE]]</f>
        <v>0</v>
      </c>
      <c r="L134" s="44">
        <f>Table1[[#This Row],[G]]</f>
        <v>0</v>
      </c>
      <c r="M134" s="44">
        <f>Table1[[#This Row],[J]]</f>
        <v>0</v>
      </c>
      <c r="N134" s="193">
        <f>Table1[[#This Row],[N]]</f>
        <v>0</v>
      </c>
      <c r="O134" s="44">
        <f>Table1[[#This Row],[R]]</f>
        <v>0</v>
      </c>
      <c r="P134" s="44">
        <f>Table1[[#This Row],[V]]</f>
        <v>0</v>
      </c>
      <c r="Q134" s="44">
        <f>Table1[[#This Row],[VJ]]</f>
        <v>0</v>
      </c>
      <c r="R134" s="44">
        <f>Table1[[#This Row],[RN]]</f>
        <v>0</v>
      </c>
      <c r="S134" s="44">
        <f>Table1[[#This Row],[Blank]]</f>
        <v>0</v>
      </c>
      <c r="T134" s="105">
        <f>SUM(Table14[[#This Row],[B]:[Blank]])</f>
        <v>0</v>
      </c>
      <c r="U134" s="116">
        <v>0.24</v>
      </c>
      <c r="V134" s="118">
        <f t="shared" si="3"/>
        <v>0</v>
      </c>
      <c r="W134" s="111">
        <v>87.06</v>
      </c>
      <c r="X134" s="111">
        <f>Table14[[#This Row],[Coil Size]]*Table14[[#This Row],[D10]]/1000*VLOOKUP(Table14[[#This Row],[Navision Code]],'TABULAR PRICE LIST'!A:L,11,FALSE)</f>
        <v>0</v>
      </c>
      <c r="Y134" s="111">
        <f>IFERROR(Table14[[#This Row],[Coil Size]]*Table14[[#This Row],[D10]]/1000*VLOOKUP(Table14[[#This Row],[Navision Code]],'TABULAR PRICE LIST'!A:L,10,FALSE),0)</f>
        <v>0</v>
      </c>
      <c r="Z134" s="111">
        <f>VLOOKUP(C134,'TABULAR PRICE LIST'!$A:$L,12,FALSE)</f>
        <v>2555</v>
      </c>
      <c r="AA134" s="111">
        <f>Table14[[#This Row],[Coil Size]]*Table14[[#This Row],[D10]]/1000</f>
        <v>0</v>
      </c>
      <c r="AB134" s="111">
        <f>Table14[[#This Row],[Weight/KYD]]*Table14[[#This Row],[D10]]</f>
        <v>0</v>
      </c>
      <c r="AC134" s="177"/>
      <c r="AD134" s="111">
        <v>1</v>
      </c>
    </row>
    <row r="135" spans="1:30" ht="18.5" x14ac:dyDescent="0.45">
      <c r="A135" s="189" t="s">
        <v>34</v>
      </c>
      <c r="B135" s="18">
        <f t="shared" si="4"/>
        <v>123</v>
      </c>
      <c r="C135" s="21" t="s">
        <v>172</v>
      </c>
      <c r="D135" s="21" t="s">
        <v>211</v>
      </c>
      <c r="E135" s="21" t="s">
        <v>19</v>
      </c>
      <c r="F135" s="21">
        <v>1000</v>
      </c>
      <c r="G135" s="22" t="s">
        <v>157</v>
      </c>
      <c r="H135" s="22" t="s">
        <v>152</v>
      </c>
      <c r="I135" s="20"/>
      <c r="J135" s="44">
        <f>Table1[[#This Row],[B]]</f>
        <v>0</v>
      </c>
      <c r="K135" s="44">
        <f>Table1[[#This Row],[BE]]</f>
        <v>0</v>
      </c>
      <c r="L135" s="44">
        <f>Table1[[#This Row],[G]]</f>
        <v>0</v>
      </c>
      <c r="M135" s="44">
        <f>Table1[[#This Row],[J]]</f>
        <v>0</v>
      </c>
      <c r="N135" s="193">
        <f>Table1[[#This Row],[N]]</f>
        <v>0</v>
      </c>
      <c r="O135" s="44">
        <f>Table1[[#This Row],[R]]</f>
        <v>0</v>
      </c>
      <c r="P135" s="44">
        <f>Table1[[#This Row],[V]]</f>
        <v>0</v>
      </c>
      <c r="Q135" s="44">
        <f>Table1[[#This Row],[VJ]]</f>
        <v>0</v>
      </c>
      <c r="R135" s="44">
        <f>Table1[[#This Row],[RN]]</f>
        <v>0</v>
      </c>
      <c r="S135" s="44">
        <f>Table1[[#This Row],[Blank]]</f>
        <v>0</v>
      </c>
      <c r="T135" s="105">
        <f>SUM(Table14[[#This Row],[B]:[Blank]])</f>
        <v>0</v>
      </c>
      <c r="U135" s="116">
        <v>0.32</v>
      </c>
      <c r="V135" s="118">
        <f t="shared" si="3"/>
        <v>0</v>
      </c>
      <c r="W135" s="111">
        <v>136.80000000000001</v>
      </c>
      <c r="X135" s="111">
        <f>Table14[[#This Row],[Coil Size]]*Table14[[#This Row],[D10]]/1000*VLOOKUP(Table14[[#This Row],[Navision Code]],'TABULAR PRICE LIST'!A:L,11,FALSE)</f>
        <v>0</v>
      </c>
      <c r="Y135" s="111">
        <f>IFERROR(Table14[[#This Row],[Coil Size]]*Table14[[#This Row],[D10]]/1000*VLOOKUP(Table14[[#This Row],[Navision Code]],'TABULAR PRICE LIST'!A:L,10,FALSE),0)</f>
        <v>0</v>
      </c>
      <c r="Z135" s="111">
        <f>VLOOKUP(C135,'TABULAR PRICE LIST'!$A:$L,12,FALSE)</f>
        <v>3746</v>
      </c>
      <c r="AA135" s="111">
        <f>Table14[[#This Row],[Coil Size]]*Table14[[#This Row],[D10]]/1000</f>
        <v>0</v>
      </c>
      <c r="AB135" s="111">
        <f>Table14[[#This Row],[Weight/KYD]]*Table14[[#This Row],[D10]]</f>
        <v>0</v>
      </c>
      <c r="AC135" s="177"/>
      <c r="AD135" s="111">
        <v>1</v>
      </c>
    </row>
    <row r="136" spans="1:30" ht="18.5" x14ac:dyDescent="0.45">
      <c r="A136" s="189" t="s">
        <v>34</v>
      </c>
      <c r="B136" s="18">
        <f t="shared" si="4"/>
        <v>124</v>
      </c>
      <c r="C136" s="21" t="s">
        <v>173</v>
      </c>
      <c r="D136" s="21" t="s">
        <v>211</v>
      </c>
      <c r="E136" s="21" t="s">
        <v>19</v>
      </c>
      <c r="F136" s="21">
        <v>500</v>
      </c>
      <c r="G136" s="22" t="s">
        <v>157</v>
      </c>
      <c r="H136" s="22" t="s">
        <v>153</v>
      </c>
      <c r="I136" s="20"/>
      <c r="J136" s="44">
        <f>Table1[[#This Row],[B]]</f>
        <v>0</v>
      </c>
      <c r="K136" s="44">
        <f>Table1[[#This Row],[BE]]</f>
        <v>0</v>
      </c>
      <c r="L136" s="44">
        <f>Table1[[#This Row],[G]]</f>
        <v>0</v>
      </c>
      <c r="M136" s="44">
        <f>Table1[[#This Row],[J]]</f>
        <v>0</v>
      </c>
      <c r="N136" s="193">
        <f>Table1[[#This Row],[N]]</f>
        <v>0</v>
      </c>
      <c r="O136" s="44">
        <f>Table1[[#This Row],[R]]</f>
        <v>0</v>
      </c>
      <c r="P136" s="44">
        <f>Table1[[#This Row],[V]]</f>
        <v>0</v>
      </c>
      <c r="Q136" s="44">
        <f>Table1[[#This Row],[VJ]]</f>
        <v>0</v>
      </c>
      <c r="R136" s="44">
        <f>Table1[[#This Row],[RN]]</f>
        <v>0</v>
      </c>
      <c r="S136" s="44">
        <f>Table1[[#This Row],[Blank]]</f>
        <v>0</v>
      </c>
      <c r="T136" s="105">
        <f>SUM(Table14[[#This Row],[B]:[Blank]])</f>
        <v>0</v>
      </c>
      <c r="U136" s="116">
        <v>0.44</v>
      </c>
      <c r="V136" s="118">
        <f t="shared" si="3"/>
        <v>0</v>
      </c>
      <c r="W136" s="111">
        <v>204</v>
      </c>
      <c r="X136" s="111">
        <f>Table14[[#This Row],[Coil Size]]*Table14[[#This Row],[D10]]/1000*VLOOKUP(Table14[[#This Row],[Navision Code]],'TABULAR PRICE LIST'!A:L,11,FALSE)</f>
        <v>0</v>
      </c>
      <c r="Y136" s="111">
        <f>IFERROR(Table14[[#This Row],[Coil Size]]*Table14[[#This Row],[D10]]/1000*VLOOKUP(Table14[[#This Row],[Navision Code]],'TABULAR PRICE LIST'!A:L,10,FALSE),0)</f>
        <v>0</v>
      </c>
      <c r="Z136" s="111">
        <f>VLOOKUP(C136,'TABULAR PRICE LIST'!$A:$L,12,FALSE)</f>
        <v>5795</v>
      </c>
      <c r="AA136" s="111">
        <f>Table14[[#This Row],[Coil Size]]*Table14[[#This Row],[D10]]/1000</f>
        <v>0</v>
      </c>
      <c r="AB136" s="111">
        <f>Table14[[#This Row],[Weight/KYD]]*Table14[[#This Row],[D10]]</f>
        <v>0</v>
      </c>
      <c r="AC136" s="177"/>
      <c r="AD136" s="111">
        <v>1</v>
      </c>
    </row>
    <row r="137" spans="1:30" ht="18.5" x14ac:dyDescent="0.45">
      <c r="A137" s="189" t="s">
        <v>34</v>
      </c>
      <c r="B137" s="18">
        <f t="shared" si="4"/>
        <v>125</v>
      </c>
      <c r="C137" s="21" t="s">
        <v>174</v>
      </c>
      <c r="D137" s="21" t="s">
        <v>211</v>
      </c>
      <c r="E137" s="21" t="s">
        <v>19</v>
      </c>
      <c r="F137" s="21">
        <v>500</v>
      </c>
      <c r="G137" s="22" t="s">
        <v>157</v>
      </c>
      <c r="H137" s="22" t="s">
        <v>175</v>
      </c>
      <c r="I137" s="20"/>
      <c r="J137" s="44">
        <f>Table1[[#This Row],[B]]</f>
        <v>0</v>
      </c>
      <c r="K137" s="44">
        <f>Table1[[#This Row],[BE]]</f>
        <v>0</v>
      </c>
      <c r="L137" s="44">
        <f>Table1[[#This Row],[G]]</f>
        <v>0</v>
      </c>
      <c r="M137" s="44">
        <f>Table1[[#This Row],[J]]</f>
        <v>0</v>
      </c>
      <c r="N137" s="193">
        <f>Table1[[#This Row],[N]]</f>
        <v>0</v>
      </c>
      <c r="O137" s="44">
        <f>Table1[[#This Row],[R]]</f>
        <v>0</v>
      </c>
      <c r="P137" s="44">
        <f>Table1[[#This Row],[V]]</f>
        <v>0</v>
      </c>
      <c r="Q137" s="44">
        <f>Table1[[#This Row],[VJ]]</f>
        <v>0</v>
      </c>
      <c r="R137" s="44">
        <f>Table1[[#This Row],[RN]]</f>
        <v>0</v>
      </c>
      <c r="S137" s="44">
        <f>Table1[[#This Row],[Blank]]</f>
        <v>0</v>
      </c>
      <c r="T137" s="105">
        <f>SUM(Table14[[#This Row],[B]:[Blank]])</f>
        <v>0</v>
      </c>
      <c r="U137" s="116">
        <v>0.4</v>
      </c>
      <c r="V137" s="118">
        <f t="shared" si="3"/>
        <v>0</v>
      </c>
      <c r="W137" s="111">
        <v>153</v>
      </c>
      <c r="X137" s="111" t="e">
        <f>Table14[[#This Row],[Coil Size]]*Table14[[#This Row],[D10]]/1000*VLOOKUP(Table14[[#This Row],[Navision Code]],'TABULAR PRICE LIST'!A:L,11,FALSE)</f>
        <v>#N/A</v>
      </c>
      <c r="Y137" s="111">
        <f>IFERROR(Table14[[#This Row],[Coil Size]]*Table14[[#This Row],[D10]]/1000*VLOOKUP(Table14[[#This Row],[Navision Code]],'TABULAR PRICE LIST'!A:L,10,FALSE),0)</f>
        <v>0</v>
      </c>
      <c r="Z137" s="111" t="e">
        <f>VLOOKUP(C137,'TABULAR PRICE LIST'!$A:$L,12,FALSE)</f>
        <v>#N/A</v>
      </c>
      <c r="AA137" s="111">
        <f>Table14[[#This Row],[Coil Size]]*Table14[[#This Row],[D10]]/1000</f>
        <v>0</v>
      </c>
      <c r="AB137" s="111">
        <f>Table14[[#This Row],[Weight/KYD]]*Table14[[#This Row],[D10]]</f>
        <v>0</v>
      </c>
      <c r="AC137" s="177"/>
      <c r="AD137" s="111">
        <v>1</v>
      </c>
    </row>
    <row r="138" spans="1:30" ht="18.5" x14ac:dyDescent="0.45">
      <c r="A138" s="189" t="s">
        <v>34</v>
      </c>
      <c r="B138" s="18">
        <f t="shared" si="4"/>
        <v>126</v>
      </c>
      <c r="C138" s="21" t="s">
        <v>230</v>
      </c>
      <c r="D138" s="21" t="s">
        <v>211</v>
      </c>
      <c r="E138" s="21" t="s">
        <v>19</v>
      </c>
      <c r="F138" s="21">
        <v>500</v>
      </c>
      <c r="G138" s="22" t="s">
        <v>157</v>
      </c>
      <c r="H138" s="22" t="s">
        <v>136</v>
      </c>
      <c r="I138" s="20"/>
      <c r="J138" s="44">
        <f>Table1[[#This Row],[B]]</f>
        <v>0</v>
      </c>
      <c r="K138" s="44">
        <f>Table1[[#This Row],[BE]]</f>
        <v>0</v>
      </c>
      <c r="L138" s="44">
        <f>Table1[[#This Row],[G]]</f>
        <v>0</v>
      </c>
      <c r="M138" s="44">
        <f>Table1[[#This Row],[J]]</f>
        <v>0</v>
      </c>
      <c r="N138" s="193">
        <f>Table1[[#This Row],[N]]</f>
        <v>0</v>
      </c>
      <c r="O138" s="44">
        <f>Table1[[#This Row],[R]]</f>
        <v>0</v>
      </c>
      <c r="P138" s="44">
        <f>Table1[[#This Row],[V]]</f>
        <v>0</v>
      </c>
      <c r="Q138" s="44">
        <f>Table1[[#This Row],[VJ]]</f>
        <v>0</v>
      </c>
      <c r="R138" s="44">
        <f>Table1[[#This Row],[RN]]</f>
        <v>0</v>
      </c>
      <c r="S138" s="44">
        <f>Table1[[#This Row],[Blank]]</f>
        <v>0</v>
      </c>
      <c r="T138" s="105">
        <f>SUM(Table14[[#This Row],[B]:[Blank]])</f>
        <v>0</v>
      </c>
      <c r="U138" s="116">
        <v>0.42</v>
      </c>
      <c r="V138" s="118">
        <f t="shared" si="3"/>
        <v>0</v>
      </c>
      <c r="W138" s="111">
        <v>171.2</v>
      </c>
      <c r="X138" s="111">
        <f>Table14[[#This Row],[Coil Size]]*Table14[[#This Row],[D10]]/1000*VLOOKUP(Table14[[#This Row],[Navision Code]],'TABULAR PRICE LIST'!A:L,11,FALSE)</f>
        <v>0</v>
      </c>
      <c r="Y138" s="111">
        <f>IFERROR(Table14[[#This Row],[Coil Size]]*Table14[[#This Row],[D10]]/1000*VLOOKUP(Table14[[#This Row],[Navision Code]],'TABULAR PRICE LIST'!A:L,10,FALSE),0)</f>
        <v>0</v>
      </c>
      <c r="Z138" s="111">
        <f>VLOOKUP(C138,'TABULAR PRICE LIST'!$A:$L,12,FALSE)</f>
        <v>4553</v>
      </c>
      <c r="AA138" s="111">
        <f>Table14[[#This Row],[Coil Size]]*Table14[[#This Row],[D10]]/1000</f>
        <v>0</v>
      </c>
      <c r="AB138" s="111">
        <f>Table14[[#This Row],[Weight/KYD]]*Table14[[#This Row],[D10]]</f>
        <v>0</v>
      </c>
      <c r="AC138" s="177"/>
      <c r="AD138" s="111">
        <v>1</v>
      </c>
    </row>
    <row r="139" spans="1:30" ht="18.5" x14ac:dyDescent="0.45">
      <c r="A139" s="189" t="s">
        <v>34</v>
      </c>
      <c r="B139" s="18">
        <f t="shared" si="4"/>
        <v>127</v>
      </c>
      <c r="C139" s="290" t="s">
        <v>841</v>
      </c>
      <c r="D139" s="21" t="s">
        <v>211</v>
      </c>
      <c r="E139" s="21" t="s">
        <v>19</v>
      </c>
      <c r="F139" s="290">
        <v>500</v>
      </c>
      <c r="G139" s="22" t="s">
        <v>157</v>
      </c>
      <c r="H139" s="291" t="s">
        <v>344</v>
      </c>
      <c r="I139" s="292"/>
      <c r="J139" s="293">
        <f>Table1[[#This Row],[B]]</f>
        <v>0</v>
      </c>
      <c r="K139" s="293">
        <f>Table1[[#This Row],[BE]]</f>
        <v>0</v>
      </c>
      <c r="L139" s="293">
        <f>Table1[[#This Row],[G]]</f>
        <v>0</v>
      </c>
      <c r="M139" s="293">
        <f>Table1[[#This Row],[J]]</f>
        <v>0</v>
      </c>
      <c r="N139" s="293">
        <f>Table1[[#This Row],[N]]</f>
        <v>0</v>
      </c>
      <c r="O139" s="293">
        <f>Table1[[#This Row],[R]]</f>
        <v>0</v>
      </c>
      <c r="P139" s="293">
        <f>Table1[[#This Row],[V]]</f>
        <v>0</v>
      </c>
      <c r="Q139" s="293">
        <f>Table1[[#This Row],[VJ]]</f>
        <v>0</v>
      </c>
      <c r="R139" s="293">
        <f>Table1[[#This Row],[RN]]</f>
        <v>0</v>
      </c>
      <c r="S139" s="293">
        <f>Table1[[#This Row],[Blank]]</f>
        <v>0</v>
      </c>
      <c r="T139" s="298">
        <f>SUM(Table14[[#This Row],[B]:[Blank]])</f>
        <v>0</v>
      </c>
      <c r="U139" s="295">
        <v>0.5</v>
      </c>
      <c r="V139" s="296">
        <f>U139*T139</f>
        <v>0</v>
      </c>
      <c r="W139" s="297">
        <v>272</v>
      </c>
      <c r="X139" s="297">
        <f>Table14[[#This Row],[Coil Size]]*Table14[[#This Row],[D10]]/1000*VLOOKUP(Table14[[#This Row],[Navision Code]],'TABULAR PRICE LIST'!A:L,11,FALSE)</f>
        <v>0</v>
      </c>
      <c r="Y139" s="297">
        <f>IFERROR(Table14[[#This Row],[Coil Size]]*Table14[[#This Row],[D10]]/1000*VLOOKUP(Table14[[#This Row],[Navision Code]],'TABULAR PRICE LIST'!A:L,10,FALSE),0)</f>
        <v>0</v>
      </c>
      <c r="Z139" s="297">
        <f>VLOOKUP(C139,'TABULAR PRICE LIST'!$A:$L,12,FALSE)</f>
        <v>0</v>
      </c>
      <c r="AA139" s="297">
        <f>Table14[[#This Row],[Coil Size]]*Table14[[#This Row],[D10]]/1000</f>
        <v>0</v>
      </c>
      <c r="AB139" s="297">
        <f>Table14[[#This Row],[Weight/KYD]]*Table14[[#This Row],[D10]]</f>
        <v>0</v>
      </c>
      <c r="AC139" s="177"/>
      <c r="AD139" s="111">
        <v>1</v>
      </c>
    </row>
    <row r="140" spans="1:30" ht="18.5" x14ac:dyDescent="0.45">
      <c r="A140" s="189" t="s">
        <v>34</v>
      </c>
      <c r="B140" s="18">
        <f t="shared" si="4"/>
        <v>128</v>
      </c>
      <c r="C140" s="21" t="s">
        <v>231</v>
      </c>
      <c r="D140" s="21" t="s">
        <v>211</v>
      </c>
      <c r="E140" s="21" t="s">
        <v>19</v>
      </c>
      <c r="F140" s="21">
        <v>500</v>
      </c>
      <c r="G140" s="22" t="s">
        <v>157</v>
      </c>
      <c r="H140" s="22" t="s">
        <v>146</v>
      </c>
      <c r="I140" s="20"/>
      <c r="J140" s="44">
        <f>Table1[[#This Row],[B]]</f>
        <v>0</v>
      </c>
      <c r="K140" s="44">
        <f>Table1[[#This Row],[BE]]</f>
        <v>0</v>
      </c>
      <c r="L140" s="44">
        <f>Table1[[#This Row],[G]]</f>
        <v>0</v>
      </c>
      <c r="M140" s="44">
        <f>Table1[[#This Row],[J]]</f>
        <v>0</v>
      </c>
      <c r="N140" s="193">
        <f>Table1[[#This Row],[N]]</f>
        <v>0</v>
      </c>
      <c r="O140" s="44">
        <f>Table1[[#This Row],[R]]</f>
        <v>0</v>
      </c>
      <c r="P140" s="44">
        <f>Table1[[#This Row],[V]]</f>
        <v>0</v>
      </c>
      <c r="Q140" s="44">
        <f>Table1[[#This Row],[VJ]]</f>
        <v>0</v>
      </c>
      <c r="R140" s="44">
        <f>Table1[[#This Row],[RN]]</f>
        <v>0</v>
      </c>
      <c r="S140" s="44">
        <f>Table1[[#This Row],[Blank]]</f>
        <v>0</v>
      </c>
      <c r="T140" s="105">
        <f>SUM(Table14[[#This Row],[B]:[Blank]])</f>
        <v>0</v>
      </c>
      <c r="U140" s="116">
        <v>0.53</v>
      </c>
      <c r="V140" s="118">
        <f t="shared" si="3"/>
        <v>0</v>
      </c>
      <c r="W140" s="111">
        <v>256.8</v>
      </c>
      <c r="X140" s="111">
        <f>Table14[[#This Row],[Coil Size]]*Table14[[#This Row],[D10]]/1000*VLOOKUP(Table14[[#This Row],[Navision Code]],'TABULAR PRICE LIST'!A:L,11,FALSE)</f>
        <v>0</v>
      </c>
      <c r="Y140" s="111">
        <f>IFERROR(Table14[[#This Row],[Coil Size]]*Table14[[#This Row],[D10]]/1000*VLOOKUP(Table14[[#This Row],[Navision Code]],'TABULAR PRICE LIST'!A:L,10,FALSE),0)</f>
        <v>0</v>
      </c>
      <c r="Z140" s="111">
        <f>VLOOKUP(C140,'TABULAR PRICE LIST'!$A:$L,12,FALSE)</f>
        <v>6946</v>
      </c>
      <c r="AA140" s="111">
        <f>Table14[[#This Row],[Coil Size]]*Table14[[#This Row],[D10]]/1000</f>
        <v>0</v>
      </c>
      <c r="AB140" s="111">
        <f>Table14[[#This Row],[Weight/KYD]]*Table14[[#This Row],[D10]]</f>
        <v>0</v>
      </c>
      <c r="AC140" s="177"/>
      <c r="AD140" s="111">
        <v>1</v>
      </c>
    </row>
    <row r="141" spans="1:30" ht="18.5" x14ac:dyDescent="0.45">
      <c r="A141" s="189" t="s">
        <v>34</v>
      </c>
      <c r="B141" s="18">
        <f t="shared" si="4"/>
        <v>129</v>
      </c>
      <c r="C141" s="21" t="s">
        <v>232</v>
      </c>
      <c r="D141" s="21" t="s">
        <v>211</v>
      </c>
      <c r="E141" s="21" t="s">
        <v>19</v>
      </c>
      <c r="F141" s="21">
        <v>500</v>
      </c>
      <c r="G141" s="22" t="s">
        <v>157</v>
      </c>
      <c r="H141" s="22" t="s">
        <v>233</v>
      </c>
      <c r="I141" s="20"/>
      <c r="J141" s="44">
        <f>Table1[[#This Row],[B]]</f>
        <v>0</v>
      </c>
      <c r="K141" s="44">
        <f>Table1[[#This Row],[BE]]</f>
        <v>0</v>
      </c>
      <c r="L141" s="44">
        <f>Table1[[#This Row],[G]]</f>
        <v>0</v>
      </c>
      <c r="M141" s="44">
        <f>Table1[[#This Row],[J]]</f>
        <v>0</v>
      </c>
      <c r="N141" s="193">
        <f>Table1[[#This Row],[N]]</f>
        <v>0</v>
      </c>
      <c r="O141" s="44">
        <f>Table1[[#This Row],[R]]</f>
        <v>0</v>
      </c>
      <c r="P141" s="44">
        <f>Table1[[#This Row],[V]]</f>
        <v>0</v>
      </c>
      <c r="Q141" s="44">
        <f>Table1[[#This Row],[VJ]]</f>
        <v>0</v>
      </c>
      <c r="R141" s="44">
        <f>Table1[[#This Row],[RN]]</f>
        <v>0</v>
      </c>
      <c r="S141" s="44">
        <f>Table1[[#This Row],[Blank]]</f>
        <v>0</v>
      </c>
      <c r="T141" s="105">
        <f>SUM(Table14[[#This Row],[B]:[Blank]])</f>
        <v>0</v>
      </c>
      <c r="U141" s="116">
        <v>0.75</v>
      </c>
      <c r="V141" s="118">
        <f t="shared" si="3"/>
        <v>0</v>
      </c>
      <c r="W141" s="111">
        <v>409</v>
      </c>
      <c r="X141" s="111">
        <f>Table14[[#This Row],[Coil Size]]*Table14[[#This Row],[D10]]/1000*VLOOKUP(Table14[[#This Row],[Navision Code]],'TABULAR PRICE LIST'!A:L,11,FALSE)</f>
        <v>0</v>
      </c>
      <c r="Y141" s="111">
        <f>IFERROR(Table14[[#This Row],[Coil Size]]*Table14[[#This Row],[D10]]/1000*VLOOKUP(Table14[[#This Row],[Navision Code]],'TABULAR PRICE LIST'!A:L,10,FALSE),0)</f>
        <v>0</v>
      </c>
      <c r="Z141" s="111">
        <f>VLOOKUP(C141,'TABULAR PRICE LIST'!$A:$L,12,FALSE)</f>
        <v>10405</v>
      </c>
      <c r="AA141" s="111">
        <f>Table14[[#This Row],[Coil Size]]*Table14[[#This Row],[D10]]/1000</f>
        <v>0</v>
      </c>
      <c r="AB141" s="111">
        <f>Table14[[#This Row],[Weight/KYD]]*Table14[[#This Row],[D10]]</f>
        <v>0</v>
      </c>
      <c r="AC141" s="177"/>
      <c r="AD141" s="111">
        <v>1</v>
      </c>
    </row>
    <row r="142" spans="1:30" ht="18.5" x14ac:dyDescent="0.45">
      <c r="A142" s="189" t="s">
        <v>34</v>
      </c>
      <c r="B142" s="18">
        <f t="shared" si="4"/>
        <v>130</v>
      </c>
      <c r="C142" s="21" t="s">
        <v>234</v>
      </c>
      <c r="D142" s="21" t="s">
        <v>211</v>
      </c>
      <c r="E142" s="21" t="s">
        <v>19</v>
      </c>
      <c r="F142" s="21">
        <v>500</v>
      </c>
      <c r="G142" s="22" t="s">
        <v>157</v>
      </c>
      <c r="H142" s="22" t="s">
        <v>235</v>
      </c>
      <c r="I142" s="20"/>
      <c r="J142" s="44">
        <f>Table1[[#This Row],[B]]</f>
        <v>0</v>
      </c>
      <c r="K142" s="44">
        <f>Table1[[#This Row],[BE]]</f>
        <v>0</v>
      </c>
      <c r="L142" s="44">
        <f>Table1[[#This Row],[G]]</f>
        <v>0</v>
      </c>
      <c r="M142" s="44">
        <f>Table1[[#This Row],[J]]</f>
        <v>0</v>
      </c>
      <c r="N142" s="193">
        <f>Table1[[#This Row],[N]]</f>
        <v>0</v>
      </c>
      <c r="O142" s="44">
        <f>Table1[[#This Row],[R]]</f>
        <v>0</v>
      </c>
      <c r="P142" s="44">
        <f>Table1[[#This Row],[V]]</f>
        <v>0</v>
      </c>
      <c r="Q142" s="44">
        <f>Table1[[#This Row],[VJ]]</f>
        <v>0</v>
      </c>
      <c r="R142" s="44">
        <f>Table1[[#This Row],[RN]]</f>
        <v>0</v>
      </c>
      <c r="S142" s="44">
        <f>Table1[[#This Row],[Blank]]</f>
        <v>0</v>
      </c>
      <c r="T142" s="105">
        <f>SUM(Table14[[#This Row],[B]:[Blank]])</f>
        <v>0</v>
      </c>
      <c r="U142" s="116">
        <v>1.2</v>
      </c>
      <c r="V142" s="118">
        <f t="shared" si="3"/>
        <v>0</v>
      </c>
      <c r="W142" s="111">
        <v>645.4</v>
      </c>
      <c r="X142" s="111" t="e">
        <f>Table14[[#This Row],[Coil Size]]*Table14[[#This Row],[D10]]/1000*VLOOKUP(Table14[[#This Row],[Navision Code]],'TABULAR PRICE LIST'!A:L,11,FALSE)</f>
        <v>#N/A</v>
      </c>
      <c r="Y142" s="111">
        <f>IFERROR(Table14[[#This Row],[Coil Size]]*Table14[[#This Row],[D10]]/1000*VLOOKUP(Table14[[#This Row],[Navision Code]],'TABULAR PRICE LIST'!A:L,10,FALSE),0)</f>
        <v>0</v>
      </c>
      <c r="Z142" s="111" t="e">
        <f>VLOOKUP(C142,'TABULAR PRICE LIST'!$A:$L,12,FALSE)</f>
        <v>#N/A</v>
      </c>
      <c r="AA142" s="111">
        <f>Table14[[#This Row],[Coil Size]]*Table14[[#This Row],[D10]]/1000</f>
        <v>0</v>
      </c>
      <c r="AB142" s="111">
        <f>Table14[[#This Row],[Weight/KYD]]*Table14[[#This Row],[D10]]</f>
        <v>0</v>
      </c>
      <c r="AC142" s="177"/>
      <c r="AD142" s="111">
        <v>1</v>
      </c>
    </row>
    <row r="143" spans="1:30" ht="18.5" x14ac:dyDescent="0.45">
      <c r="A143" s="189" t="s">
        <v>34</v>
      </c>
      <c r="B143" s="18">
        <f t="shared" si="4"/>
        <v>131</v>
      </c>
      <c r="C143" s="21" t="s">
        <v>236</v>
      </c>
      <c r="D143" s="21" t="s">
        <v>211</v>
      </c>
      <c r="E143" s="21" t="s">
        <v>19</v>
      </c>
      <c r="F143" s="21">
        <v>500</v>
      </c>
      <c r="G143" s="22" t="s">
        <v>157</v>
      </c>
      <c r="H143" s="22" t="s">
        <v>155</v>
      </c>
      <c r="I143" s="20"/>
      <c r="J143" s="44">
        <f>Table1[[#This Row],[B]]</f>
        <v>0</v>
      </c>
      <c r="K143" s="44">
        <f>Table1[[#This Row],[BE]]</f>
        <v>0</v>
      </c>
      <c r="L143" s="44">
        <f>Table1[[#This Row],[G]]</f>
        <v>0</v>
      </c>
      <c r="M143" s="44">
        <f>Table1[[#This Row],[J]]</f>
        <v>0</v>
      </c>
      <c r="N143" s="193">
        <f>Table1[[#This Row],[N]]</f>
        <v>0</v>
      </c>
      <c r="O143" s="44">
        <f>Table1[[#This Row],[R]]</f>
        <v>0</v>
      </c>
      <c r="P143" s="44">
        <f>Table1[[#This Row],[V]]</f>
        <v>0</v>
      </c>
      <c r="Q143" s="44">
        <f>Table1[[#This Row],[VJ]]</f>
        <v>0</v>
      </c>
      <c r="R143" s="44">
        <f>Table1[[#This Row],[RN]]</f>
        <v>0</v>
      </c>
      <c r="S143" s="44">
        <f>Table1[[#This Row],[Blank]]</f>
        <v>0</v>
      </c>
      <c r="T143" s="105">
        <f>SUM(Table14[[#This Row],[B]:[Blank]])</f>
        <v>0</v>
      </c>
      <c r="U143" s="116">
        <v>0.67</v>
      </c>
      <c r="V143" s="118">
        <f t="shared" ref="V143:V206" si="5">U143*T143</f>
        <v>0</v>
      </c>
      <c r="W143" s="111">
        <v>342.4</v>
      </c>
      <c r="X143" s="111">
        <f>Table14[[#This Row],[Coil Size]]*Table14[[#This Row],[D10]]/1000*VLOOKUP(Table14[[#This Row],[Navision Code]],'TABULAR PRICE LIST'!A:L,11,FALSE)</f>
        <v>0</v>
      </c>
      <c r="Y143" s="111">
        <f>IFERROR(Table14[[#This Row],[Coil Size]]*Table14[[#This Row],[D10]]/1000*VLOOKUP(Table14[[#This Row],[Navision Code]],'TABULAR PRICE LIST'!A:L,10,FALSE),0)</f>
        <v>0</v>
      </c>
      <c r="Z143" s="111">
        <f>VLOOKUP(C143,'TABULAR PRICE LIST'!$A:$L,12,FALSE)</f>
        <v>8471</v>
      </c>
      <c r="AA143" s="111">
        <f>Table14[[#This Row],[Coil Size]]*Table14[[#This Row],[D10]]/1000</f>
        <v>0</v>
      </c>
      <c r="AB143" s="111">
        <f>Table14[[#This Row],[Weight/KYD]]*Table14[[#This Row],[D10]]</f>
        <v>0</v>
      </c>
      <c r="AC143" s="177"/>
      <c r="AD143" s="111">
        <v>1</v>
      </c>
    </row>
    <row r="144" spans="1:30" ht="18.5" x14ac:dyDescent="0.45">
      <c r="A144" s="189" t="s">
        <v>34</v>
      </c>
      <c r="B144" s="18">
        <f t="shared" si="4"/>
        <v>132</v>
      </c>
      <c r="C144" s="21" t="s">
        <v>229</v>
      </c>
      <c r="D144" s="21" t="s">
        <v>211</v>
      </c>
      <c r="E144" s="21" t="s">
        <v>19</v>
      </c>
      <c r="F144" s="21">
        <v>500</v>
      </c>
      <c r="G144" s="22" t="s">
        <v>157</v>
      </c>
      <c r="H144" s="22" t="s">
        <v>237</v>
      </c>
      <c r="I144" s="20"/>
      <c r="J144" s="44">
        <f>Table1[[#This Row],[B]]</f>
        <v>0</v>
      </c>
      <c r="K144" s="44">
        <f>Table1[[#This Row],[BE]]</f>
        <v>0</v>
      </c>
      <c r="L144" s="44">
        <f>Table1[[#This Row],[G]]</f>
        <v>0</v>
      </c>
      <c r="M144" s="44">
        <f>Table1[[#This Row],[J]]</f>
        <v>0</v>
      </c>
      <c r="N144" s="193">
        <f>Table1[[#This Row],[N]]</f>
        <v>0</v>
      </c>
      <c r="O144" s="44">
        <f>Table1[[#This Row],[R]]</f>
        <v>0</v>
      </c>
      <c r="P144" s="44">
        <f>Table1[[#This Row],[V]]</f>
        <v>0</v>
      </c>
      <c r="Q144" s="44">
        <f>Table1[[#This Row],[VJ]]</f>
        <v>0</v>
      </c>
      <c r="R144" s="44">
        <f>Table1[[#This Row],[RN]]</f>
        <v>0</v>
      </c>
      <c r="S144" s="44">
        <f>Table1[[#This Row],[Blank]]</f>
        <v>0</v>
      </c>
      <c r="T144" s="105">
        <f>SUM(Table14[[#This Row],[B]:[Blank]])</f>
        <v>0</v>
      </c>
      <c r="U144" s="116">
        <v>0.93</v>
      </c>
      <c r="V144" s="118">
        <f t="shared" si="5"/>
        <v>0</v>
      </c>
      <c r="W144" s="111">
        <v>545.4</v>
      </c>
      <c r="X144" s="111">
        <f>Table14[[#This Row],[Coil Size]]*Table14[[#This Row],[D10]]/1000*VLOOKUP(Table14[[#This Row],[Navision Code]],'TABULAR PRICE LIST'!A:L,11,FALSE)</f>
        <v>0</v>
      </c>
      <c r="Y144" s="111">
        <f>IFERROR(Table14[[#This Row],[Coil Size]]*Table14[[#This Row],[D10]]/1000*VLOOKUP(Table14[[#This Row],[Navision Code]],'TABULAR PRICE LIST'!A:L,10,FALSE),0)</f>
        <v>0</v>
      </c>
      <c r="Z144" s="111">
        <f>VLOOKUP(C144,'TABULAR PRICE LIST'!$A:$L,12,FALSE)</f>
        <v>12866</v>
      </c>
      <c r="AA144" s="111">
        <f>Table14[[#This Row],[Coil Size]]*Table14[[#This Row],[D10]]/1000</f>
        <v>0</v>
      </c>
      <c r="AB144" s="111">
        <f>Table14[[#This Row],[Weight/KYD]]*Table14[[#This Row],[D10]]</f>
        <v>0</v>
      </c>
      <c r="AC144" s="177"/>
      <c r="AD144" s="111">
        <v>1</v>
      </c>
    </row>
    <row r="145" spans="1:30" ht="18.5" x14ac:dyDescent="0.45">
      <c r="A145" s="189" t="s">
        <v>34</v>
      </c>
      <c r="B145" s="18">
        <f t="shared" si="4"/>
        <v>133</v>
      </c>
      <c r="C145" s="21" t="s">
        <v>238</v>
      </c>
      <c r="D145" s="21" t="s">
        <v>211</v>
      </c>
      <c r="E145" s="21" t="s">
        <v>19</v>
      </c>
      <c r="F145" s="21">
        <v>500</v>
      </c>
      <c r="G145" s="22" t="s">
        <v>157</v>
      </c>
      <c r="H145" s="22" t="s">
        <v>239</v>
      </c>
      <c r="I145" s="20"/>
      <c r="J145" s="44">
        <f>Table1[[#This Row],[B]]</f>
        <v>0</v>
      </c>
      <c r="K145" s="44">
        <f>Table1[[#This Row],[BE]]</f>
        <v>0</v>
      </c>
      <c r="L145" s="44">
        <f>Table1[[#This Row],[G]]</f>
        <v>0</v>
      </c>
      <c r="M145" s="44">
        <f>Table1[[#This Row],[J]]</f>
        <v>0</v>
      </c>
      <c r="N145" s="193">
        <f>Table1[[#This Row],[N]]</f>
        <v>0</v>
      </c>
      <c r="O145" s="44">
        <f>Table1[[#This Row],[R]]</f>
        <v>0</v>
      </c>
      <c r="P145" s="44">
        <f>Table1[[#This Row],[V]]</f>
        <v>0</v>
      </c>
      <c r="Q145" s="44">
        <f>Table1[[#This Row],[VJ]]</f>
        <v>0</v>
      </c>
      <c r="R145" s="44">
        <f>Table1[[#This Row],[RN]]</f>
        <v>0</v>
      </c>
      <c r="S145" s="44">
        <f>Table1[[#This Row],[Blank]]</f>
        <v>0</v>
      </c>
      <c r="T145" s="105">
        <f>SUM(Table14[[#This Row],[B]:[Blank]])</f>
        <v>0</v>
      </c>
      <c r="U145" s="116">
        <v>1.44</v>
      </c>
      <c r="V145" s="118">
        <f t="shared" si="5"/>
        <v>0</v>
      </c>
      <c r="W145" s="111">
        <v>860.5</v>
      </c>
      <c r="X145" s="111">
        <f>Table14[[#This Row],[Coil Size]]*Table14[[#This Row],[D10]]/1000*VLOOKUP(Table14[[#This Row],[Navision Code]],'TABULAR PRICE LIST'!A:L,11,FALSE)</f>
        <v>0</v>
      </c>
      <c r="Y145" s="111">
        <f>IFERROR(Table14[[#This Row],[Coil Size]]*Table14[[#This Row],[D10]]/1000*VLOOKUP(Table14[[#This Row],[Navision Code]],'TABULAR PRICE LIST'!A:L,10,FALSE),0)</f>
        <v>0</v>
      </c>
      <c r="Z145" s="111">
        <f>VLOOKUP(C145,'TABULAR PRICE LIST'!$A:$L,12,FALSE)</f>
        <v>20187</v>
      </c>
      <c r="AA145" s="111">
        <f>Table14[[#This Row],[Coil Size]]*Table14[[#This Row],[D10]]/1000</f>
        <v>0</v>
      </c>
      <c r="AB145" s="111">
        <f>Table14[[#This Row],[Weight/KYD]]*Table14[[#This Row],[D10]]</f>
        <v>0</v>
      </c>
      <c r="AC145" s="177"/>
      <c r="AD145" s="111">
        <v>1</v>
      </c>
    </row>
    <row r="146" spans="1:30" ht="18.5" x14ac:dyDescent="0.45">
      <c r="A146" s="189" t="s">
        <v>34</v>
      </c>
      <c r="B146" s="18">
        <f t="shared" si="4"/>
        <v>134</v>
      </c>
      <c r="C146" s="21" t="s">
        <v>228</v>
      </c>
      <c r="D146" s="21" t="s">
        <v>211</v>
      </c>
      <c r="E146" s="21" t="s">
        <v>19</v>
      </c>
      <c r="F146" s="21">
        <v>500</v>
      </c>
      <c r="G146" s="22" t="s">
        <v>157</v>
      </c>
      <c r="H146" s="22" t="s">
        <v>240</v>
      </c>
      <c r="I146" s="20"/>
      <c r="J146" s="44">
        <f>Table1[[#This Row],[B]]</f>
        <v>0</v>
      </c>
      <c r="K146" s="44">
        <f>Table1[[#This Row],[BE]]</f>
        <v>0</v>
      </c>
      <c r="L146" s="44">
        <f>Table1[[#This Row],[G]]</f>
        <v>0</v>
      </c>
      <c r="M146" s="44">
        <f>Table1[[#This Row],[J]]</f>
        <v>0</v>
      </c>
      <c r="N146" s="193">
        <f>Table1[[#This Row],[N]]</f>
        <v>0</v>
      </c>
      <c r="O146" s="44">
        <f>Table1[[#This Row],[R]]</f>
        <v>0</v>
      </c>
      <c r="P146" s="44">
        <f>Table1[[#This Row],[V]]</f>
        <v>0</v>
      </c>
      <c r="Q146" s="44">
        <f>Table1[[#This Row],[VJ]]</f>
        <v>0</v>
      </c>
      <c r="R146" s="44">
        <f>Table1[[#This Row],[RN]]</f>
        <v>0</v>
      </c>
      <c r="S146" s="44">
        <f>Table1[[#This Row],[Blank]]</f>
        <v>0</v>
      </c>
      <c r="T146" s="105">
        <f>SUM(Table14[[#This Row],[B]:[Blank]])</f>
        <v>0</v>
      </c>
      <c r="U146" s="116">
        <v>0.61</v>
      </c>
      <c r="V146" s="118">
        <f t="shared" si="5"/>
        <v>0</v>
      </c>
      <c r="W146" s="111">
        <v>307.81</v>
      </c>
      <c r="X146" s="111">
        <f>Table14[[#This Row],[Coil Size]]*Table14[[#This Row],[D10]]/1000*VLOOKUP(Table14[[#This Row],[Navision Code]],'TABULAR PRICE LIST'!A:L,11,FALSE)</f>
        <v>0</v>
      </c>
      <c r="Y146" s="111">
        <f>IFERROR(Table14[[#This Row],[Coil Size]]*Table14[[#This Row],[D10]]/1000*VLOOKUP(Table14[[#This Row],[Navision Code]],'TABULAR PRICE LIST'!A:L,10,FALSE),0)</f>
        <v>0</v>
      </c>
      <c r="Z146" s="111">
        <f>VLOOKUP(C146,'TABULAR PRICE LIST'!$A:$L,12,FALSE)</f>
        <v>7914</v>
      </c>
      <c r="AA146" s="111">
        <f>Table14[[#This Row],[Coil Size]]*Table14[[#This Row],[D10]]/1000</f>
        <v>0</v>
      </c>
      <c r="AB146" s="111">
        <f>Table14[[#This Row],[Weight/KYD]]*Table14[[#This Row],[D10]]</f>
        <v>0</v>
      </c>
      <c r="AC146" s="177"/>
      <c r="AD146" s="111">
        <v>1</v>
      </c>
    </row>
    <row r="147" spans="1:30" ht="18.5" x14ac:dyDescent="0.45">
      <c r="A147" s="189" t="s">
        <v>34</v>
      </c>
      <c r="B147" s="18">
        <f t="shared" si="4"/>
        <v>135</v>
      </c>
      <c r="C147" s="21" t="s">
        <v>241</v>
      </c>
      <c r="D147" s="21" t="s">
        <v>211</v>
      </c>
      <c r="E147" s="21" t="s">
        <v>19</v>
      </c>
      <c r="F147" s="21">
        <v>500</v>
      </c>
      <c r="G147" s="22" t="s">
        <v>157</v>
      </c>
      <c r="H147" s="22" t="s">
        <v>242</v>
      </c>
      <c r="I147" s="20"/>
      <c r="J147" s="44">
        <f>Table1[[#This Row],[B]]</f>
        <v>0</v>
      </c>
      <c r="K147" s="44">
        <f>Table1[[#This Row],[BE]]</f>
        <v>0</v>
      </c>
      <c r="L147" s="44">
        <f>Table1[[#This Row],[G]]</f>
        <v>0</v>
      </c>
      <c r="M147" s="44">
        <f>Table1[[#This Row],[J]]</f>
        <v>0</v>
      </c>
      <c r="N147" s="193">
        <f>Table1[[#This Row],[N]]</f>
        <v>0</v>
      </c>
      <c r="O147" s="44">
        <f>Table1[[#This Row],[R]]</f>
        <v>0</v>
      </c>
      <c r="P147" s="44">
        <f>Table1[[#This Row],[V]]</f>
        <v>0</v>
      </c>
      <c r="Q147" s="44">
        <f>Table1[[#This Row],[VJ]]</f>
        <v>0</v>
      </c>
      <c r="R147" s="44">
        <f>Table1[[#This Row],[RN]]</f>
        <v>0</v>
      </c>
      <c r="S147" s="44">
        <f>Table1[[#This Row],[Blank]]</f>
        <v>0</v>
      </c>
      <c r="T147" s="105">
        <f>SUM(Table14[[#This Row],[B]:[Blank]])</f>
        <v>0</v>
      </c>
      <c r="U147" s="116">
        <v>0.9</v>
      </c>
      <c r="V147" s="118">
        <f t="shared" si="5"/>
        <v>0</v>
      </c>
      <c r="W147" s="111">
        <v>494.6</v>
      </c>
      <c r="X147" s="111">
        <f>Table14[[#This Row],[Coil Size]]*Table14[[#This Row],[D10]]/1000*VLOOKUP(Table14[[#This Row],[Navision Code]],'TABULAR PRICE LIST'!A:L,11,FALSE)</f>
        <v>0</v>
      </c>
      <c r="Y147" s="111">
        <f>IFERROR(Table14[[#This Row],[Coil Size]]*Table14[[#This Row],[D10]]/1000*VLOOKUP(Table14[[#This Row],[Navision Code]],'TABULAR PRICE LIST'!A:L,10,FALSE),0)</f>
        <v>0</v>
      </c>
      <c r="Z147" s="111">
        <f>VLOOKUP(C147,'TABULAR PRICE LIST'!$A:$L,12,FALSE)</f>
        <v>11874</v>
      </c>
      <c r="AA147" s="111">
        <f>Table14[[#This Row],[Coil Size]]*Table14[[#This Row],[D10]]/1000</f>
        <v>0</v>
      </c>
      <c r="AB147" s="111">
        <f>Table14[[#This Row],[Weight/KYD]]*Table14[[#This Row],[D10]]</f>
        <v>0</v>
      </c>
      <c r="AC147" s="177"/>
      <c r="AD147" s="111">
        <v>1</v>
      </c>
    </row>
    <row r="148" spans="1:30" thickBot="1" x14ac:dyDescent="0.5">
      <c r="A148" s="189" t="s">
        <v>34</v>
      </c>
      <c r="B148" s="23">
        <f t="shared" si="4"/>
        <v>136</v>
      </c>
      <c r="C148" s="30" t="s">
        <v>243</v>
      </c>
      <c r="D148" s="30" t="s">
        <v>211</v>
      </c>
      <c r="E148" s="30" t="s">
        <v>19</v>
      </c>
      <c r="F148" s="30">
        <v>500</v>
      </c>
      <c r="G148" s="31" t="s">
        <v>157</v>
      </c>
      <c r="H148" s="31" t="s">
        <v>244</v>
      </c>
      <c r="I148" s="25"/>
      <c r="J148" s="46">
        <f>Table1[[#This Row],[B]]</f>
        <v>0</v>
      </c>
      <c r="K148" s="46">
        <f>Table1[[#This Row],[BE]]</f>
        <v>0</v>
      </c>
      <c r="L148" s="46">
        <f>Table1[[#This Row],[G]]</f>
        <v>0</v>
      </c>
      <c r="M148" s="46">
        <f>Table1[[#This Row],[J]]</f>
        <v>0</v>
      </c>
      <c r="N148" s="195">
        <f>Table1[[#This Row],[N]]</f>
        <v>0</v>
      </c>
      <c r="O148" s="46">
        <f>Table1[[#This Row],[R]]</f>
        <v>0</v>
      </c>
      <c r="P148" s="46">
        <f>Table1[[#This Row],[V]]</f>
        <v>0</v>
      </c>
      <c r="Q148" s="46">
        <f>Table1[[#This Row],[VJ]]</f>
        <v>0</v>
      </c>
      <c r="R148" s="46">
        <f>Table1[[#This Row],[RN]]</f>
        <v>0</v>
      </c>
      <c r="S148" s="46">
        <f>Table1[[#This Row],[Blank]]</f>
        <v>0</v>
      </c>
      <c r="T148" s="106">
        <f>SUM(Table14[[#This Row],[B]:[Blank]])</f>
        <v>0</v>
      </c>
      <c r="U148" s="119">
        <v>1.34</v>
      </c>
      <c r="V148" s="120">
        <f t="shared" si="5"/>
        <v>0</v>
      </c>
      <c r="W148" s="112">
        <v>781.8</v>
      </c>
      <c r="X148" s="112">
        <f>Table14[[#This Row],[Coil Size]]*Table14[[#This Row],[D10]]/1000*VLOOKUP(Table14[[#This Row],[Navision Code]],'TABULAR PRICE LIST'!A:L,11,FALSE)</f>
        <v>0</v>
      </c>
      <c r="Y148" s="112">
        <f>IFERROR(Table14[[#This Row],[Coil Size]]*Table14[[#This Row],[D10]]/1000*VLOOKUP(Table14[[#This Row],[Navision Code]],'TABULAR PRICE LIST'!A:L,10,FALSE),0)</f>
        <v>0</v>
      </c>
      <c r="Z148" s="112">
        <f>VLOOKUP(C148,'TABULAR PRICE LIST'!$A:$L,12,FALSE)</f>
        <v>18032</v>
      </c>
      <c r="AA148" s="112">
        <f>Table14[[#This Row],[Coil Size]]*Table14[[#This Row],[D10]]/1000</f>
        <v>0</v>
      </c>
      <c r="AB148" s="112">
        <f>Table14[[#This Row],[Weight/KYD]]*Table14[[#This Row],[D10]]</f>
        <v>0</v>
      </c>
      <c r="AC148" s="177"/>
      <c r="AD148" s="112">
        <v>1</v>
      </c>
    </row>
    <row r="149" spans="1:30" ht="18.5" x14ac:dyDescent="0.45">
      <c r="A149" s="189" t="s">
        <v>34</v>
      </c>
      <c r="B149" s="15">
        <f t="shared" si="4"/>
        <v>137</v>
      </c>
      <c r="C149" s="38" t="s">
        <v>245</v>
      </c>
      <c r="D149" s="38" t="s">
        <v>211</v>
      </c>
      <c r="E149" s="38" t="s">
        <v>19</v>
      </c>
      <c r="F149" s="38">
        <v>500</v>
      </c>
      <c r="G149" s="39" t="s">
        <v>246</v>
      </c>
      <c r="H149" s="39" t="s">
        <v>171</v>
      </c>
      <c r="I149" s="17"/>
      <c r="J149" s="42">
        <f>Table1[[#This Row],[B]]</f>
        <v>0</v>
      </c>
      <c r="K149" s="42">
        <f>Table1[[#This Row],[BE]]</f>
        <v>0</v>
      </c>
      <c r="L149" s="42">
        <f>Table1[[#This Row],[G]]</f>
        <v>0</v>
      </c>
      <c r="M149" s="42">
        <f>Table1[[#This Row],[J]]</f>
        <v>0</v>
      </c>
      <c r="N149" s="190">
        <f>Table1[[#This Row],[N]]</f>
        <v>0</v>
      </c>
      <c r="O149" s="42">
        <f>Table1[[#This Row],[R]]</f>
        <v>0</v>
      </c>
      <c r="P149" s="42">
        <f>Table1[[#This Row],[V]]</f>
        <v>0</v>
      </c>
      <c r="Q149" s="42">
        <f>Table1[[#This Row],[VJ]]</f>
        <v>0</v>
      </c>
      <c r="R149" s="42">
        <f>Table1[[#This Row],[RN]]</f>
        <v>0</v>
      </c>
      <c r="S149" s="42">
        <f>Table1[[#This Row],[Blank]]</f>
        <v>0</v>
      </c>
      <c r="T149" s="109">
        <f>SUM(Table14[[#This Row],[B]:[Blank]])</f>
        <v>0</v>
      </c>
      <c r="U149" s="114">
        <v>0.25</v>
      </c>
      <c r="V149" s="115">
        <f t="shared" si="5"/>
        <v>0</v>
      </c>
      <c r="W149" s="115">
        <v>87.06</v>
      </c>
      <c r="X149" s="136" t="e">
        <f>Table14[[#This Row],[Coil Size]]*Table14[[#This Row],[D10]]/1000*VLOOKUP(Table14[[#This Row],[Navision Code]],'TABULAR PRICE LIST'!A:L,11,FALSE)</f>
        <v>#N/A</v>
      </c>
      <c r="Y149" s="136">
        <f>IFERROR(Table14[[#This Row],[Coil Size]]*Table14[[#This Row],[D10]]/1000*VLOOKUP(Table14[[#This Row],[Navision Code]],'TABULAR PRICE LIST'!A:L,10,FALSE),0)</f>
        <v>0</v>
      </c>
      <c r="Z149" s="136" t="e">
        <f>VLOOKUP(C149,'TABULAR PRICE LIST'!$A:$L,12,FALSE)</f>
        <v>#N/A</v>
      </c>
      <c r="AA149" s="136">
        <f>Table14[[#This Row],[Coil Size]]*Table14[[#This Row],[D10]]/1000</f>
        <v>0</v>
      </c>
      <c r="AB149" s="115">
        <f>Table14[[#This Row],[Weight/KYD]]*Table14[[#This Row],[D10]]</f>
        <v>0</v>
      </c>
      <c r="AC149" s="177"/>
      <c r="AD149" s="115">
        <v>1</v>
      </c>
    </row>
    <row r="150" spans="1:30" ht="18.5" x14ac:dyDescent="0.45">
      <c r="A150" s="189" t="s">
        <v>34</v>
      </c>
      <c r="B150" s="18">
        <f t="shared" si="4"/>
        <v>138</v>
      </c>
      <c r="C150" s="21" t="s">
        <v>247</v>
      </c>
      <c r="D150" s="21" t="s">
        <v>211</v>
      </c>
      <c r="E150" s="21" t="s">
        <v>19</v>
      </c>
      <c r="F150" s="21">
        <v>500</v>
      </c>
      <c r="G150" s="22" t="s">
        <v>246</v>
      </c>
      <c r="H150" s="22" t="s">
        <v>152</v>
      </c>
      <c r="I150" s="20"/>
      <c r="J150" s="44">
        <f>Table1[[#This Row],[B]]</f>
        <v>0</v>
      </c>
      <c r="K150" s="44">
        <f>Table1[[#This Row],[BE]]</f>
        <v>0</v>
      </c>
      <c r="L150" s="44">
        <f>Table1[[#This Row],[G]]</f>
        <v>0</v>
      </c>
      <c r="M150" s="44">
        <f>Table1[[#This Row],[J]]</f>
        <v>0</v>
      </c>
      <c r="N150" s="193">
        <f>Table1[[#This Row],[N]]</f>
        <v>0</v>
      </c>
      <c r="O150" s="44">
        <f>Table1[[#This Row],[R]]</f>
        <v>0</v>
      </c>
      <c r="P150" s="44">
        <f>Table1[[#This Row],[V]]</f>
        <v>0</v>
      </c>
      <c r="Q150" s="44">
        <f>Table1[[#This Row],[VJ]]</f>
        <v>0</v>
      </c>
      <c r="R150" s="44">
        <f>Table1[[#This Row],[RN]]</f>
        <v>0</v>
      </c>
      <c r="S150" s="44">
        <f>Table1[[#This Row],[Blank]]</f>
        <v>0</v>
      </c>
      <c r="T150" s="105">
        <f>SUM(Table14[[#This Row],[B]:[Blank]])</f>
        <v>0</v>
      </c>
      <c r="U150" s="116">
        <v>0.41</v>
      </c>
      <c r="V150" s="118">
        <f t="shared" si="5"/>
        <v>0</v>
      </c>
      <c r="W150" s="118">
        <v>136.80000000000001</v>
      </c>
      <c r="X150" s="118" t="e">
        <f>Table14[[#This Row],[Coil Size]]*Table14[[#This Row],[D10]]/1000*VLOOKUP(Table14[[#This Row],[Navision Code]],'TABULAR PRICE LIST'!A:L,11,FALSE)</f>
        <v>#N/A</v>
      </c>
      <c r="Y150" s="118">
        <f>IFERROR(Table14[[#This Row],[Coil Size]]*Table14[[#This Row],[D10]]/1000*VLOOKUP(Table14[[#This Row],[Navision Code]],'TABULAR PRICE LIST'!A:L,10,FALSE),0)</f>
        <v>0</v>
      </c>
      <c r="Z150" s="118" t="e">
        <f>VLOOKUP(C150,'TABULAR PRICE LIST'!$A:$L,12,FALSE)</f>
        <v>#N/A</v>
      </c>
      <c r="AA150" s="118">
        <f>Table14[[#This Row],[Coil Size]]*Table14[[#This Row],[D10]]/1000</f>
        <v>0</v>
      </c>
      <c r="AB150" s="118">
        <f>Table14[[#This Row],[Weight/KYD]]*Table14[[#This Row],[D10]]</f>
        <v>0</v>
      </c>
      <c r="AC150" s="177"/>
      <c r="AD150" s="118">
        <v>1</v>
      </c>
    </row>
    <row r="151" spans="1:30" ht="18.5" x14ac:dyDescent="0.45">
      <c r="A151" s="189" t="s">
        <v>34</v>
      </c>
      <c r="B151" s="18">
        <f t="shared" si="4"/>
        <v>139</v>
      </c>
      <c r="C151" s="21" t="s">
        <v>456</v>
      </c>
      <c r="D151" s="21" t="s">
        <v>211</v>
      </c>
      <c r="E151" s="21" t="s">
        <v>19</v>
      </c>
      <c r="F151" s="21">
        <v>500</v>
      </c>
      <c r="G151" s="22" t="s">
        <v>246</v>
      </c>
      <c r="H151" s="22" t="s">
        <v>153</v>
      </c>
      <c r="I151" s="20"/>
      <c r="J151" s="44">
        <f>Table1[[#This Row],[B]]</f>
        <v>0</v>
      </c>
      <c r="K151" s="44">
        <f>Table1[[#This Row],[BE]]</f>
        <v>0</v>
      </c>
      <c r="L151" s="44">
        <f>Table1[[#This Row],[G]]</f>
        <v>0</v>
      </c>
      <c r="M151" s="44">
        <f>Table1[[#This Row],[J]]</f>
        <v>0</v>
      </c>
      <c r="N151" s="193">
        <f>Table1[[#This Row],[N]]</f>
        <v>0</v>
      </c>
      <c r="O151" s="44">
        <f>Table1[[#This Row],[R]]</f>
        <v>0</v>
      </c>
      <c r="P151" s="44">
        <f>Table1[[#This Row],[V]]</f>
        <v>0</v>
      </c>
      <c r="Q151" s="44">
        <f>Table1[[#This Row],[VJ]]</f>
        <v>0</v>
      </c>
      <c r="R151" s="44">
        <f>Table1[[#This Row],[RN]]</f>
        <v>0</v>
      </c>
      <c r="S151" s="44">
        <f>Table1[[#This Row],[Blank]]</f>
        <v>0</v>
      </c>
      <c r="T151" s="105">
        <f>SUM(Table14[[#This Row],[B]:[Blank]])</f>
        <v>0</v>
      </c>
      <c r="U151" s="116">
        <v>0.48</v>
      </c>
      <c r="V151" s="118">
        <f t="shared" si="5"/>
        <v>0</v>
      </c>
      <c r="W151" s="118">
        <v>204</v>
      </c>
      <c r="X151" s="118" t="e">
        <f>Table14[[#This Row],[Coil Size]]*Table14[[#This Row],[D10]]/1000*VLOOKUP(Table14[[#This Row],[Navision Code]],'TABULAR PRICE LIST'!A:L,11,FALSE)</f>
        <v>#N/A</v>
      </c>
      <c r="Y151" s="118">
        <f>IFERROR(Table14[[#This Row],[Coil Size]]*Table14[[#This Row],[D10]]/1000*VLOOKUP(Table14[[#This Row],[Navision Code]],'TABULAR PRICE LIST'!A:L,10,FALSE),0)</f>
        <v>0</v>
      </c>
      <c r="Z151" s="118" t="e">
        <f>VLOOKUP(C151,'TABULAR PRICE LIST'!$A:$L,12,FALSE)</f>
        <v>#N/A</v>
      </c>
      <c r="AA151" s="118">
        <f>Table14[[#This Row],[Coil Size]]*Table14[[#This Row],[D10]]/1000</f>
        <v>0</v>
      </c>
      <c r="AB151" s="118">
        <f>Table14[[#This Row],[Weight/KYD]]*Table14[[#This Row],[D10]]</f>
        <v>0</v>
      </c>
      <c r="AC151" s="177"/>
      <c r="AD151" s="118">
        <v>1</v>
      </c>
    </row>
    <row r="152" spans="1:30" ht="18.5" x14ac:dyDescent="0.45">
      <c r="A152" s="189" t="s">
        <v>34</v>
      </c>
      <c r="B152" s="18">
        <f t="shared" si="4"/>
        <v>140</v>
      </c>
      <c r="C152" s="21" t="s">
        <v>249</v>
      </c>
      <c r="D152" s="21" t="s">
        <v>211</v>
      </c>
      <c r="E152" s="21" t="s">
        <v>19</v>
      </c>
      <c r="F152" s="21">
        <v>500</v>
      </c>
      <c r="G152" s="22" t="s">
        <v>246</v>
      </c>
      <c r="H152" s="22" t="s">
        <v>155</v>
      </c>
      <c r="I152" s="20"/>
      <c r="J152" s="44">
        <f>Table1[[#This Row],[B]]</f>
        <v>0</v>
      </c>
      <c r="K152" s="44">
        <f>Table1[[#This Row],[BE]]</f>
        <v>0</v>
      </c>
      <c r="L152" s="44">
        <f>Table1[[#This Row],[G]]</f>
        <v>0</v>
      </c>
      <c r="M152" s="44">
        <f>Table1[[#This Row],[J]]</f>
        <v>0</v>
      </c>
      <c r="N152" s="193">
        <f>Table1[[#This Row],[N]]</f>
        <v>0</v>
      </c>
      <c r="O152" s="44">
        <f>Table1[[#This Row],[R]]</f>
        <v>0</v>
      </c>
      <c r="P152" s="44">
        <f>Table1[[#This Row],[V]]</f>
        <v>0</v>
      </c>
      <c r="Q152" s="44">
        <f>Table1[[#This Row],[VJ]]</f>
        <v>0</v>
      </c>
      <c r="R152" s="44">
        <f>Table1[[#This Row],[RN]]</f>
        <v>0</v>
      </c>
      <c r="S152" s="44">
        <f>Table1[[#This Row],[Blank]]</f>
        <v>0</v>
      </c>
      <c r="T152" s="105">
        <f>SUM(Table14[[#This Row],[B]:[Blank]])</f>
        <v>0</v>
      </c>
      <c r="U152" s="116">
        <v>0.66</v>
      </c>
      <c r="V152" s="118">
        <f t="shared" si="5"/>
        <v>0</v>
      </c>
      <c r="W152" s="118">
        <f>4*10*8.89/1000</f>
        <v>0.35560000000000003</v>
      </c>
      <c r="X152" s="118" t="e">
        <f>Table14[[#This Row],[Coil Size]]*Table14[[#This Row],[D10]]/1000*VLOOKUP(Table14[[#This Row],[Navision Code]],'TABULAR PRICE LIST'!A:L,11,FALSE)</f>
        <v>#N/A</v>
      </c>
      <c r="Y152" s="118">
        <f>IFERROR(Table14[[#This Row],[Coil Size]]*Table14[[#This Row],[D10]]/1000*VLOOKUP(Table14[[#This Row],[Navision Code]],'TABULAR PRICE LIST'!A:L,10,FALSE),0)</f>
        <v>0</v>
      </c>
      <c r="Z152" s="118" t="e">
        <f>VLOOKUP(C152,'TABULAR PRICE LIST'!$A:$L,12,FALSE)</f>
        <v>#N/A</v>
      </c>
      <c r="AA152" s="118">
        <f>Table14[[#This Row],[Coil Size]]*Table14[[#This Row],[D10]]/1000</f>
        <v>0</v>
      </c>
      <c r="AB152" s="118">
        <f>Table14[[#This Row],[Weight/KYD]]*Table14[[#This Row],[D10]]</f>
        <v>0</v>
      </c>
      <c r="AC152" s="177"/>
      <c r="AD152" s="118">
        <v>1</v>
      </c>
    </row>
    <row r="153" spans="1:30" ht="18.5" x14ac:dyDescent="0.45">
      <c r="A153" s="189" t="s">
        <v>34</v>
      </c>
      <c r="B153" s="18">
        <f t="shared" si="4"/>
        <v>141</v>
      </c>
      <c r="C153" s="21" t="s">
        <v>248</v>
      </c>
      <c r="D153" s="21" t="s">
        <v>211</v>
      </c>
      <c r="E153" s="21" t="s">
        <v>19</v>
      </c>
      <c r="F153" s="21">
        <v>500</v>
      </c>
      <c r="G153" s="22" t="s">
        <v>246</v>
      </c>
      <c r="H153" s="22" t="s">
        <v>237</v>
      </c>
      <c r="I153" s="20"/>
      <c r="J153" s="44">
        <f>Table1[[#This Row],[B]]</f>
        <v>0</v>
      </c>
      <c r="K153" s="44">
        <f>Table1[[#This Row],[BE]]</f>
        <v>0</v>
      </c>
      <c r="L153" s="44">
        <f>Table1[[#This Row],[G]]</f>
        <v>0</v>
      </c>
      <c r="M153" s="44">
        <f>Table1[[#This Row],[J]]</f>
        <v>0</v>
      </c>
      <c r="N153" s="193">
        <f>Table1[[#This Row],[N]]</f>
        <v>0</v>
      </c>
      <c r="O153" s="44">
        <f>Table1[[#This Row],[R]]</f>
        <v>0</v>
      </c>
      <c r="P153" s="44">
        <f>Table1[[#This Row],[V]]</f>
        <v>0</v>
      </c>
      <c r="Q153" s="44">
        <f>Table1[[#This Row],[VJ]]</f>
        <v>0</v>
      </c>
      <c r="R153" s="44">
        <f>Table1[[#This Row],[RN]]</f>
        <v>0</v>
      </c>
      <c r="S153" s="44">
        <f>Table1[[#This Row],[Blank]]</f>
        <v>0</v>
      </c>
      <c r="T153" s="105">
        <f>SUM(Table14[[#This Row],[B]:[Blank]])</f>
        <v>0</v>
      </c>
      <c r="U153" s="116">
        <v>1.01</v>
      </c>
      <c r="V153" s="118">
        <f t="shared" si="5"/>
        <v>0</v>
      </c>
      <c r="W153" s="118">
        <f>4*16*8.89/1000</f>
        <v>0.56896000000000002</v>
      </c>
      <c r="X153" s="118" t="e">
        <f>Table14[[#This Row],[Coil Size]]*Table14[[#This Row],[D10]]/1000*VLOOKUP(Table14[[#This Row],[Navision Code]],'TABULAR PRICE LIST'!A:L,11,FALSE)</f>
        <v>#N/A</v>
      </c>
      <c r="Y153" s="118">
        <f>IFERROR(Table14[[#This Row],[Coil Size]]*Table14[[#This Row],[D10]]/1000*VLOOKUP(Table14[[#This Row],[Navision Code]],'TABULAR PRICE LIST'!A:L,10,FALSE),0)</f>
        <v>0</v>
      </c>
      <c r="Z153" s="118" t="e">
        <f>VLOOKUP(C153,'TABULAR PRICE LIST'!$A:$L,12,FALSE)</f>
        <v>#N/A</v>
      </c>
      <c r="AA153" s="118">
        <f>Table14[[#This Row],[Coil Size]]*Table14[[#This Row],[D10]]/1000</f>
        <v>0</v>
      </c>
      <c r="AB153" s="118">
        <f>Table14[[#This Row],[Weight/KYD]]*Table14[[#This Row],[D10]]</f>
        <v>0</v>
      </c>
      <c r="AC153" s="177"/>
      <c r="AD153" s="118">
        <v>1</v>
      </c>
    </row>
    <row r="154" spans="1:30" ht="18.5" x14ac:dyDescent="0.45">
      <c r="A154" s="189" t="s">
        <v>34</v>
      </c>
      <c r="B154" s="18">
        <f t="shared" si="4"/>
        <v>142</v>
      </c>
      <c r="C154" s="21" t="s">
        <v>250</v>
      </c>
      <c r="D154" s="21" t="s">
        <v>211</v>
      </c>
      <c r="E154" s="21" t="s">
        <v>19</v>
      </c>
      <c r="F154" s="21">
        <v>500</v>
      </c>
      <c r="G154" s="22" t="s">
        <v>246</v>
      </c>
      <c r="H154" s="22" t="s">
        <v>239</v>
      </c>
      <c r="I154" s="20"/>
      <c r="J154" s="44">
        <f>Table1[[#This Row],[B]]</f>
        <v>0</v>
      </c>
      <c r="K154" s="44">
        <f>Table1[[#This Row],[BE]]</f>
        <v>0</v>
      </c>
      <c r="L154" s="44">
        <f>Table1[[#This Row],[G]]</f>
        <v>0</v>
      </c>
      <c r="M154" s="44">
        <f>Table1[[#This Row],[J]]</f>
        <v>0</v>
      </c>
      <c r="N154" s="193">
        <f>Table1[[#This Row],[N]]</f>
        <v>0</v>
      </c>
      <c r="O154" s="44">
        <f>Table1[[#This Row],[R]]</f>
        <v>0</v>
      </c>
      <c r="P154" s="44">
        <f>Table1[[#This Row],[V]]</f>
        <v>0</v>
      </c>
      <c r="Q154" s="44">
        <f>Table1[[#This Row],[VJ]]</f>
        <v>0</v>
      </c>
      <c r="R154" s="44">
        <f>Table1[[#This Row],[RN]]</f>
        <v>0</v>
      </c>
      <c r="S154" s="44">
        <f>Table1[[#This Row],[Blank]]</f>
        <v>0</v>
      </c>
      <c r="T154" s="105">
        <f>SUM(Table14[[#This Row],[B]:[Blank]])</f>
        <v>0</v>
      </c>
      <c r="U154" s="116">
        <v>1.43</v>
      </c>
      <c r="V154" s="118">
        <f t="shared" si="5"/>
        <v>0</v>
      </c>
      <c r="W154" s="118">
        <f>4*25*8.89/1000</f>
        <v>0.88900000000000001</v>
      </c>
      <c r="X154" s="118" t="e">
        <f>Table14[[#This Row],[Coil Size]]*Table14[[#This Row],[D10]]/1000*VLOOKUP(Table14[[#This Row],[Navision Code]],'TABULAR PRICE LIST'!A:L,11,FALSE)</f>
        <v>#N/A</v>
      </c>
      <c r="Y154" s="118">
        <f>IFERROR(Table14[[#This Row],[Coil Size]]*Table14[[#This Row],[D10]]/1000*VLOOKUP(Table14[[#This Row],[Navision Code]],'TABULAR PRICE LIST'!A:L,10,FALSE),0)</f>
        <v>0</v>
      </c>
      <c r="Z154" s="118" t="e">
        <f>VLOOKUP(C154,'TABULAR PRICE LIST'!$A:$L,12,FALSE)</f>
        <v>#N/A</v>
      </c>
      <c r="AA154" s="118">
        <f>Table14[[#This Row],[Coil Size]]*Table14[[#This Row],[D10]]/1000</f>
        <v>0</v>
      </c>
      <c r="AB154" s="118">
        <f>Table14[[#This Row],[Weight/KYD]]*Table14[[#This Row],[D10]]</f>
        <v>0</v>
      </c>
      <c r="AC154" s="177"/>
      <c r="AD154" s="118">
        <v>1</v>
      </c>
    </row>
    <row r="155" spans="1:30" ht="18.5" x14ac:dyDescent="0.45">
      <c r="A155" s="189" t="s">
        <v>34</v>
      </c>
      <c r="B155" s="18">
        <f t="shared" si="4"/>
        <v>143</v>
      </c>
      <c r="C155" s="21" t="s">
        <v>251</v>
      </c>
      <c r="D155" s="21" t="s">
        <v>211</v>
      </c>
      <c r="E155" s="21" t="s">
        <v>19</v>
      </c>
      <c r="F155" s="21">
        <v>500</v>
      </c>
      <c r="G155" s="22" t="s">
        <v>246</v>
      </c>
      <c r="H155" s="22" t="s">
        <v>550</v>
      </c>
      <c r="I155" s="20"/>
      <c r="J155" s="44">
        <f>Table1[[#This Row],[B]]</f>
        <v>0</v>
      </c>
      <c r="K155" s="44">
        <f>Table1[[#This Row],[BE]]</f>
        <v>0</v>
      </c>
      <c r="L155" s="44">
        <f>Table1[[#This Row],[G]]</f>
        <v>0</v>
      </c>
      <c r="M155" s="44">
        <f>Table1[[#This Row],[J]]</f>
        <v>0</v>
      </c>
      <c r="N155" s="193">
        <f>Table1[[#This Row],[N]]</f>
        <v>0</v>
      </c>
      <c r="O155" s="44">
        <f>Table1[[#This Row],[R]]</f>
        <v>0</v>
      </c>
      <c r="P155" s="44">
        <f>Table1[[#This Row],[V]]</f>
        <v>0</v>
      </c>
      <c r="Q155" s="44">
        <f>Table1[[#This Row],[VJ]]</f>
        <v>0</v>
      </c>
      <c r="R155" s="44">
        <f>Table1[[#This Row],[RN]]</f>
        <v>0</v>
      </c>
      <c r="S155" s="44">
        <f>Table1[[#This Row],[Blank]]</f>
        <v>0</v>
      </c>
      <c r="T155" s="105">
        <f>SUM(Table14[[#This Row],[B]:[Blank]])</f>
        <v>0</v>
      </c>
      <c r="U155" s="116">
        <v>1.64</v>
      </c>
      <c r="V155" s="118">
        <f t="shared" si="5"/>
        <v>0</v>
      </c>
      <c r="W155" s="118">
        <v>1032.4000000000001</v>
      </c>
      <c r="X155" s="118">
        <f>Table14[[#This Row],[Coil Size]]*Table14[[#This Row],[D10]]/1000*VLOOKUP(Table14[[#This Row],[Navision Code]],'TABULAR PRICE LIST'!A:L,11,FALSE)</f>
        <v>0</v>
      </c>
      <c r="Y155" s="118">
        <f>IFERROR(Table14[[#This Row],[Coil Size]]*Table14[[#This Row],[D10]]/1000*VLOOKUP(Table14[[#This Row],[Navision Code]],'TABULAR PRICE LIST'!A:L,10,FALSE),0)</f>
        <v>0</v>
      </c>
      <c r="Z155" s="118">
        <f>VLOOKUP(C155,'TABULAR PRICE LIST'!$A:$L,12,FALSE)</f>
        <v>24816</v>
      </c>
      <c r="AA155" s="118">
        <f>Table14[[#This Row],[Coil Size]]*Table14[[#This Row],[D10]]/1000</f>
        <v>0</v>
      </c>
      <c r="AB155" s="118">
        <f>Table14[[#This Row],[Weight/KYD]]*Table14[[#This Row],[D10]]</f>
        <v>0</v>
      </c>
      <c r="AC155" s="177"/>
      <c r="AD155" s="118">
        <v>1</v>
      </c>
    </row>
    <row r="156" spans="1:30" ht="18.5" x14ac:dyDescent="0.45">
      <c r="A156" s="189" t="s">
        <v>34</v>
      </c>
      <c r="B156" s="18">
        <f t="shared" si="4"/>
        <v>144</v>
      </c>
      <c r="C156" s="21" t="s">
        <v>552</v>
      </c>
      <c r="D156" s="21" t="s">
        <v>211</v>
      </c>
      <c r="E156" s="21" t="s">
        <v>19</v>
      </c>
      <c r="F156" s="21">
        <v>500</v>
      </c>
      <c r="G156" s="22" t="s">
        <v>246</v>
      </c>
      <c r="H156" s="22" t="s">
        <v>551</v>
      </c>
      <c r="I156" s="20"/>
      <c r="J156" s="44">
        <f>Table1[[#This Row],[B]]</f>
        <v>0</v>
      </c>
      <c r="K156" s="44">
        <f>Table1[[#This Row],[BE]]</f>
        <v>0</v>
      </c>
      <c r="L156" s="44">
        <f>Table1[[#This Row],[G]]</f>
        <v>0</v>
      </c>
      <c r="M156" s="44">
        <f>Table1[[#This Row],[J]]</f>
        <v>0</v>
      </c>
      <c r="N156" s="193">
        <f>Table1[[#This Row],[N]]</f>
        <v>0</v>
      </c>
      <c r="O156" s="44">
        <f>Table1[[#This Row],[R]]</f>
        <v>0</v>
      </c>
      <c r="P156" s="44">
        <f>Table1[[#This Row],[V]]</f>
        <v>0</v>
      </c>
      <c r="Q156" s="44">
        <f>Table1[[#This Row],[VJ]]</f>
        <v>0</v>
      </c>
      <c r="R156" s="44">
        <f>Table1[[#This Row],[RN]]</f>
        <v>0</v>
      </c>
      <c r="S156" s="44">
        <f>Table1[[#This Row],[Blank]]</f>
        <v>0</v>
      </c>
      <c r="T156" s="105">
        <f>SUM(Table14[[#This Row],[B]:[Blank]])</f>
        <v>0</v>
      </c>
      <c r="U156" s="116">
        <v>2.09</v>
      </c>
      <c r="V156" s="118">
        <f t="shared" si="5"/>
        <v>0</v>
      </c>
      <c r="W156" s="118">
        <v>1442.1</v>
      </c>
      <c r="X156" s="118">
        <f>Table14[[#This Row],[Coil Size]]*Table14[[#This Row],[D10]]/1000*VLOOKUP(Table14[[#This Row],[Navision Code]],'TABULAR PRICE LIST'!A:L,11,FALSE)</f>
        <v>0</v>
      </c>
      <c r="Y156" s="118">
        <f>IFERROR(Table14[[#This Row],[Coil Size]]*Table14[[#This Row],[D10]]/1000*VLOOKUP(Table14[[#This Row],[Navision Code]],'TABULAR PRICE LIST'!A:L,10,FALSE),0)</f>
        <v>0</v>
      </c>
      <c r="Z156" s="118">
        <f>VLOOKUP(C156,'TABULAR PRICE LIST'!$A:$L,12,FALSE)</f>
        <v>37216</v>
      </c>
      <c r="AA156" s="118">
        <f>Table14[[#This Row],[Coil Size]]*Table14[[#This Row],[D10]]/1000</f>
        <v>0</v>
      </c>
      <c r="AB156" s="118">
        <f>Table14[[#This Row],[Weight/KYD]]*Table14[[#This Row],[D10]]</f>
        <v>0</v>
      </c>
      <c r="AC156" s="177"/>
      <c r="AD156" s="118">
        <v>1</v>
      </c>
    </row>
    <row r="157" spans="1:30" ht="18.5" x14ac:dyDescent="0.45">
      <c r="A157" s="189" t="s">
        <v>34</v>
      </c>
      <c r="B157" s="18">
        <f t="shared" si="4"/>
        <v>145</v>
      </c>
      <c r="C157" s="21" t="s">
        <v>252</v>
      </c>
      <c r="D157" s="21" t="s">
        <v>211</v>
      </c>
      <c r="E157" s="21" t="s">
        <v>19</v>
      </c>
      <c r="F157" s="21">
        <v>500</v>
      </c>
      <c r="G157" s="22" t="s">
        <v>246</v>
      </c>
      <c r="H157" s="22" t="s">
        <v>253</v>
      </c>
      <c r="I157" s="20"/>
      <c r="J157" s="44">
        <f>Table1[[#This Row],[B]]</f>
        <v>0</v>
      </c>
      <c r="K157" s="44">
        <f>Table1[[#This Row],[BE]]</f>
        <v>0</v>
      </c>
      <c r="L157" s="44">
        <f>Table1[[#This Row],[G]]</f>
        <v>0</v>
      </c>
      <c r="M157" s="44">
        <f>Table1[[#This Row],[J]]</f>
        <v>0</v>
      </c>
      <c r="N157" s="193">
        <f>Table1[[#This Row],[N]]</f>
        <v>0</v>
      </c>
      <c r="O157" s="44">
        <f>Table1[[#This Row],[R]]</f>
        <v>0</v>
      </c>
      <c r="P157" s="44">
        <f>Table1[[#This Row],[V]]</f>
        <v>0</v>
      </c>
      <c r="Q157" s="44">
        <f>Table1[[#This Row],[VJ]]</f>
        <v>0</v>
      </c>
      <c r="R157" s="44">
        <f>Table1[[#This Row],[RN]]</f>
        <v>0</v>
      </c>
      <c r="S157" s="44">
        <f>Table1[[#This Row],[Blank]]</f>
        <v>0</v>
      </c>
      <c r="T157" s="105">
        <f>SUM(Table14[[#This Row],[B]:[Blank]])</f>
        <v>0</v>
      </c>
      <c r="U157" s="116">
        <v>2.7483919527937495</v>
      </c>
      <c r="V157" s="118">
        <f t="shared" si="5"/>
        <v>0</v>
      </c>
      <c r="W157" s="118">
        <v>2072</v>
      </c>
      <c r="X157" s="118">
        <f>Table14[[#This Row],[Coil Size]]*Table14[[#This Row],[D10]]/1000*VLOOKUP(Table14[[#This Row],[Navision Code]],'TABULAR PRICE LIST'!A:L,11,FALSE)</f>
        <v>0</v>
      </c>
      <c r="Y157" s="118">
        <f>IFERROR(Table14[[#This Row],[Coil Size]]*Table14[[#This Row],[D10]]/1000*VLOOKUP(Table14[[#This Row],[Navision Code]],'TABULAR PRICE LIST'!A:L,10,FALSE),0)</f>
        <v>0</v>
      </c>
      <c r="Z157" s="118">
        <f>VLOOKUP(C157,'TABULAR PRICE LIST'!$A:$L,12,FALSE)</f>
        <v>48512</v>
      </c>
      <c r="AA157" s="118">
        <f>Table14[[#This Row],[Coil Size]]*Table14[[#This Row],[D10]]/1000</f>
        <v>0</v>
      </c>
      <c r="AB157" s="118">
        <f>Table14[[#This Row],[Weight/KYD]]*Table14[[#This Row],[D10]]</f>
        <v>0</v>
      </c>
      <c r="AC157" s="177"/>
      <c r="AD157" s="118">
        <v>1</v>
      </c>
    </row>
    <row r="158" spans="1:30" ht="18.5" x14ac:dyDescent="0.45">
      <c r="A158" s="189" t="s">
        <v>34</v>
      </c>
      <c r="B158" s="18">
        <f t="shared" si="4"/>
        <v>146</v>
      </c>
      <c r="C158" s="21" t="s">
        <v>254</v>
      </c>
      <c r="D158" s="21" t="s">
        <v>211</v>
      </c>
      <c r="E158" s="21" t="s">
        <v>19</v>
      </c>
      <c r="F158" s="21">
        <v>500</v>
      </c>
      <c r="G158" s="22" t="s">
        <v>246</v>
      </c>
      <c r="H158" s="22" t="s">
        <v>255</v>
      </c>
      <c r="I158" s="20"/>
      <c r="J158" s="44">
        <f>Table1[[#This Row],[B]]</f>
        <v>0</v>
      </c>
      <c r="K158" s="44">
        <f>Table1[[#This Row],[BE]]</f>
        <v>0</v>
      </c>
      <c r="L158" s="44">
        <f>Table1[[#This Row],[G]]</f>
        <v>0</v>
      </c>
      <c r="M158" s="44">
        <f>Table1[[#This Row],[J]]</f>
        <v>0</v>
      </c>
      <c r="N158" s="193">
        <f>Table1[[#This Row],[N]]</f>
        <v>0</v>
      </c>
      <c r="O158" s="44">
        <f>Table1[[#This Row],[R]]</f>
        <v>0</v>
      </c>
      <c r="P158" s="44">
        <f>Table1[[#This Row],[V]]</f>
        <v>0</v>
      </c>
      <c r="Q158" s="44">
        <f>Table1[[#This Row],[VJ]]</f>
        <v>0</v>
      </c>
      <c r="R158" s="44">
        <f>Table1[[#This Row],[RN]]</f>
        <v>0</v>
      </c>
      <c r="S158" s="44">
        <f>Table1[[#This Row],[Blank]]</f>
        <v>0</v>
      </c>
      <c r="T158" s="105">
        <f>SUM(Table14[[#This Row],[B]:[Blank]])</f>
        <v>0</v>
      </c>
      <c r="U158" s="116">
        <v>3.8270979069568347</v>
      </c>
      <c r="V158" s="118">
        <f t="shared" si="5"/>
        <v>0</v>
      </c>
      <c r="W158" s="118">
        <v>2857.1</v>
      </c>
      <c r="X158" s="118" t="e">
        <f>Table14[[#This Row],[Coil Size]]*Table14[[#This Row],[D10]]/1000*VLOOKUP(Table14[[#This Row],[Navision Code]],'TABULAR PRICE LIST'!A:L,11,FALSE)</f>
        <v>#N/A</v>
      </c>
      <c r="Y158" s="118">
        <f>IFERROR(Table14[[#This Row],[Coil Size]]*Table14[[#This Row],[D10]]/1000*VLOOKUP(Table14[[#This Row],[Navision Code]],'TABULAR PRICE LIST'!A:L,10,FALSE),0)</f>
        <v>0</v>
      </c>
      <c r="Z158" s="118" t="e">
        <f>VLOOKUP(C158,'TABULAR PRICE LIST'!$A:$L,12,FALSE)</f>
        <v>#N/A</v>
      </c>
      <c r="AA158" s="118">
        <f>Table14[[#This Row],[Coil Size]]*Table14[[#This Row],[D10]]/1000</f>
        <v>0</v>
      </c>
      <c r="AB158" s="118">
        <f>Table14[[#This Row],[Weight/KYD]]*Table14[[#This Row],[D10]]</f>
        <v>0</v>
      </c>
      <c r="AC158" s="177"/>
      <c r="AD158" s="118">
        <v>1</v>
      </c>
    </row>
    <row r="159" spans="1:30" ht="18.5" x14ac:dyDescent="0.45">
      <c r="A159" s="189" t="s">
        <v>34</v>
      </c>
      <c r="B159" s="18">
        <f t="shared" si="4"/>
        <v>147</v>
      </c>
      <c r="C159" s="21" t="s">
        <v>256</v>
      </c>
      <c r="D159" s="21" t="s">
        <v>211</v>
      </c>
      <c r="E159" s="21" t="s">
        <v>19</v>
      </c>
      <c r="F159" s="21">
        <v>500</v>
      </c>
      <c r="G159" s="22" t="s">
        <v>246</v>
      </c>
      <c r="H159" s="22" t="s">
        <v>257</v>
      </c>
      <c r="I159" s="20"/>
      <c r="J159" s="44">
        <f>Table1[[#This Row],[B]]</f>
        <v>0</v>
      </c>
      <c r="K159" s="44">
        <f>Table1[[#This Row],[BE]]</f>
        <v>0</v>
      </c>
      <c r="L159" s="44">
        <f>Table1[[#This Row],[G]]</f>
        <v>0</v>
      </c>
      <c r="M159" s="44">
        <f>Table1[[#This Row],[J]]</f>
        <v>0</v>
      </c>
      <c r="N159" s="193">
        <f>Table1[[#This Row],[N]]</f>
        <v>0</v>
      </c>
      <c r="O159" s="44">
        <f>Table1[[#This Row],[R]]</f>
        <v>0</v>
      </c>
      <c r="P159" s="44">
        <f>Table1[[#This Row],[V]]</f>
        <v>0</v>
      </c>
      <c r="Q159" s="44">
        <f>Table1[[#This Row],[VJ]]</f>
        <v>0</v>
      </c>
      <c r="R159" s="44">
        <f>Table1[[#This Row],[RN]]</f>
        <v>0</v>
      </c>
      <c r="S159" s="44">
        <f>Table1[[#This Row],[Blank]]</f>
        <v>0</v>
      </c>
      <c r="T159" s="105">
        <f>SUM(Table14[[#This Row],[B]:[Blank]])</f>
        <v>0</v>
      </c>
      <c r="U159" s="116">
        <v>4.8236448110134331</v>
      </c>
      <c r="V159" s="118">
        <f t="shared" si="5"/>
        <v>0</v>
      </c>
      <c r="W159" s="118">
        <v>3696.9</v>
      </c>
      <c r="X159" s="118">
        <f>Table14[[#This Row],[Coil Size]]*Table14[[#This Row],[D10]]/1000*VLOOKUP(Table14[[#This Row],[Navision Code]],'TABULAR PRICE LIST'!A:L,11,FALSE)</f>
        <v>0</v>
      </c>
      <c r="Y159" s="118">
        <f>IFERROR(Table14[[#This Row],[Coil Size]]*Table14[[#This Row],[D10]]/1000*VLOOKUP(Table14[[#This Row],[Navision Code]],'TABULAR PRICE LIST'!A:L,10,FALSE),0)</f>
        <v>0</v>
      </c>
      <c r="Z159" s="118">
        <f>VLOOKUP(C159,'TABULAR PRICE LIST'!$A:$L,12,FALSE)</f>
        <v>85484</v>
      </c>
      <c r="AA159" s="118">
        <f>Table14[[#This Row],[Coil Size]]*Table14[[#This Row],[D10]]/1000</f>
        <v>0</v>
      </c>
      <c r="AB159" s="118">
        <f>Table14[[#This Row],[Weight/KYD]]*Table14[[#This Row],[D10]]</f>
        <v>0</v>
      </c>
      <c r="AC159" s="177"/>
      <c r="AD159" s="118">
        <v>1</v>
      </c>
    </row>
    <row r="160" spans="1:30" ht="18.5" x14ac:dyDescent="0.45">
      <c r="A160" s="189" t="s">
        <v>34</v>
      </c>
      <c r="B160" s="18">
        <f t="shared" si="4"/>
        <v>148</v>
      </c>
      <c r="C160" s="21" t="s">
        <v>258</v>
      </c>
      <c r="D160" s="21" t="s">
        <v>211</v>
      </c>
      <c r="E160" s="21" t="s">
        <v>19</v>
      </c>
      <c r="F160" s="21">
        <v>500</v>
      </c>
      <c r="G160" s="22" t="s">
        <v>246</v>
      </c>
      <c r="H160" s="22" t="s">
        <v>259</v>
      </c>
      <c r="I160" s="20"/>
      <c r="J160" s="44">
        <f>Table1[[#This Row],[B]]</f>
        <v>0</v>
      </c>
      <c r="K160" s="44">
        <f>Table1[[#This Row],[BE]]</f>
        <v>0</v>
      </c>
      <c r="L160" s="44">
        <f>Table1[[#This Row],[G]]</f>
        <v>0</v>
      </c>
      <c r="M160" s="44">
        <f>Table1[[#This Row],[J]]</f>
        <v>0</v>
      </c>
      <c r="N160" s="193">
        <f>Table1[[#This Row],[N]]</f>
        <v>0</v>
      </c>
      <c r="O160" s="44">
        <f>Table1[[#This Row],[R]]</f>
        <v>0</v>
      </c>
      <c r="P160" s="44">
        <f>Table1[[#This Row],[V]]</f>
        <v>0</v>
      </c>
      <c r="Q160" s="44">
        <f>Table1[[#This Row],[VJ]]</f>
        <v>0</v>
      </c>
      <c r="R160" s="44">
        <f>Table1[[#This Row],[RN]]</f>
        <v>0</v>
      </c>
      <c r="S160" s="44">
        <f>Table1[[#This Row],[Blank]]</f>
        <v>0</v>
      </c>
      <c r="T160" s="105">
        <f>SUM(Table14[[#This Row],[B]:[Blank]])</f>
        <v>0</v>
      </c>
      <c r="U160" s="116">
        <v>5.8773665679871074</v>
      </c>
      <c r="V160" s="118">
        <f t="shared" si="5"/>
        <v>0</v>
      </c>
      <c r="W160" s="118">
        <v>4408.8999999999996</v>
      </c>
      <c r="X160" s="118">
        <f>Table14[[#This Row],[Coil Size]]*Table14[[#This Row],[D10]]/1000*VLOOKUP(Table14[[#This Row],[Navision Code]],'TABULAR PRICE LIST'!A:L,11,FALSE)</f>
        <v>0</v>
      </c>
      <c r="Y160" s="118">
        <f>IFERROR(Table14[[#This Row],[Coil Size]]*Table14[[#This Row],[D10]]/1000*VLOOKUP(Table14[[#This Row],[Navision Code]],'TABULAR PRICE LIST'!A:L,10,FALSE),0)</f>
        <v>0</v>
      </c>
      <c r="Z160" s="118">
        <f>VLOOKUP(C160,'TABULAR PRICE LIST'!$A:$L,12,FALSE)</f>
        <v>102312</v>
      </c>
      <c r="AA160" s="118">
        <f>Table14[[#This Row],[Coil Size]]*Table14[[#This Row],[D10]]/1000</f>
        <v>0</v>
      </c>
      <c r="AB160" s="118">
        <f>Table14[[#This Row],[Weight/KYD]]*Table14[[#This Row],[D10]]</f>
        <v>0</v>
      </c>
      <c r="AC160" s="177"/>
      <c r="AD160" s="118">
        <v>1</v>
      </c>
    </row>
    <row r="161" spans="1:30" ht="18.5" x14ac:dyDescent="0.45">
      <c r="A161" s="189" t="s">
        <v>34</v>
      </c>
      <c r="B161" s="18">
        <f t="shared" si="4"/>
        <v>149</v>
      </c>
      <c r="C161" s="21" t="s">
        <v>260</v>
      </c>
      <c r="D161" s="21" t="s">
        <v>211</v>
      </c>
      <c r="E161" s="21" t="s">
        <v>19</v>
      </c>
      <c r="F161" s="21">
        <v>500</v>
      </c>
      <c r="G161" s="22" t="s">
        <v>246</v>
      </c>
      <c r="H161" s="22" t="s">
        <v>261</v>
      </c>
      <c r="I161" s="20"/>
      <c r="J161" s="44">
        <f>Table1[[#This Row],[B]]</f>
        <v>0</v>
      </c>
      <c r="K161" s="44">
        <f>Table1[[#This Row],[BE]]</f>
        <v>0</v>
      </c>
      <c r="L161" s="44">
        <f>Table1[[#This Row],[G]]</f>
        <v>0</v>
      </c>
      <c r="M161" s="44">
        <f>Table1[[#This Row],[J]]</f>
        <v>0</v>
      </c>
      <c r="N161" s="193">
        <f>Table1[[#This Row],[N]]</f>
        <v>0</v>
      </c>
      <c r="O161" s="44">
        <f>Table1[[#This Row],[R]]</f>
        <v>0</v>
      </c>
      <c r="P161" s="44">
        <f>Table1[[#This Row],[V]]</f>
        <v>0</v>
      </c>
      <c r="Q161" s="44">
        <f>Table1[[#This Row],[VJ]]</f>
        <v>0</v>
      </c>
      <c r="R161" s="44">
        <f>Table1[[#This Row],[RN]]</f>
        <v>0</v>
      </c>
      <c r="S161" s="44">
        <f>Table1[[#This Row],[Blank]]</f>
        <v>0</v>
      </c>
      <c r="T161" s="105">
        <f>SUM(Table14[[#This Row],[B]:[Blank]])</f>
        <v>0</v>
      </c>
      <c r="U161" s="116">
        <v>7.4173430824535407</v>
      </c>
      <c r="V161" s="118">
        <f t="shared" si="5"/>
        <v>0</v>
      </c>
      <c r="W161" s="118">
        <v>5603.1</v>
      </c>
      <c r="X161" s="118">
        <f>Table14[[#This Row],[Coil Size]]*Table14[[#This Row],[D10]]/1000*VLOOKUP(Table14[[#This Row],[Navision Code]],'TABULAR PRICE LIST'!A:L,11,FALSE)</f>
        <v>0</v>
      </c>
      <c r="Y161" s="118">
        <f>IFERROR(Table14[[#This Row],[Coil Size]]*Table14[[#This Row],[D10]]/1000*VLOOKUP(Table14[[#This Row],[Navision Code]],'TABULAR PRICE LIST'!A:L,10,FALSE),0)</f>
        <v>0</v>
      </c>
      <c r="Z161" s="118">
        <f>VLOOKUP(C161,'TABULAR PRICE LIST'!$A:$L,12,FALSE)</f>
        <v>129528</v>
      </c>
      <c r="AA161" s="118">
        <f>Table14[[#This Row],[Coil Size]]*Table14[[#This Row],[D10]]/1000</f>
        <v>0</v>
      </c>
      <c r="AB161" s="118">
        <f>Table14[[#This Row],[Weight/KYD]]*Table14[[#This Row],[D10]]</f>
        <v>0</v>
      </c>
      <c r="AC161" s="177"/>
      <c r="AD161" s="118">
        <v>1</v>
      </c>
    </row>
    <row r="162" spans="1:30" ht="18.5" x14ac:dyDescent="0.45">
      <c r="A162" s="189" t="s">
        <v>34</v>
      </c>
      <c r="B162" s="18">
        <f t="shared" si="4"/>
        <v>150</v>
      </c>
      <c r="C162" s="21" t="s">
        <v>262</v>
      </c>
      <c r="D162" s="21" t="s">
        <v>211</v>
      </c>
      <c r="E162" s="21" t="s">
        <v>19</v>
      </c>
      <c r="F162" s="21">
        <v>500</v>
      </c>
      <c r="G162" s="22" t="s">
        <v>246</v>
      </c>
      <c r="H162" s="22" t="s">
        <v>263</v>
      </c>
      <c r="I162" s="20"/>
      <c r="J162" s="44">
        <f>Table1[[#This Row],[B]]</f>
        <v>0</v>
      </c>
      <c r="K162" s="44">
        <f>Table1[[#This Row],[BE]]</f>
        <v>0</v>
      </c>
      <c r="L162" s="44">
        <f>Table1[[#This Row],[G]]</f>
        <v>0</v>
      </c>
      <c r="M162" s="44">
        <f>Table1[[#This Row],[J]]</f>
        <v>0</v>
      </c>
      <c r="N162" s="193">
        <f>Table1[[#This Row],[N]]</f>
        <v>0</v>
      </c>
      <c r="O162" s="44">
        <f>Table1[[#This Row],[R]]</f>
        <v>0</v>
      </c>
      <c r="P162" s="44">
        <f>Table1[[#This Row],[V]]</f>
        <v>0</v>
      </c>
      <c r="Q162" s="44">
        <f>Table1[[#This Row],[VJ]]</f>
        <v>0</v>
      </c>
      <c r="R162" s="44">
        <f>Table1[[#This Row],[RN]]</f>
        <v>0</v>
      </c>
      <c r="S162" s="44">
        <f>Table1[[#This Row],[Blank]]</f>
        <v>0</v>
      </c>
      <c r="T162" s="105">
        <f>SUM(Table14[[#This Row],[B]:[Blank]])</f>
        <v>0</v>
      </c>
      <c r="U162" s="116">
        <v>9.5889956640133427</v>
      </c>
      <c r="V162" s="118">
        <f t="shared" si="5"/>
        <v>0</v>
      </c>
      <c r="W162" s="118">
        <v>7383</v>
      </c>
      <c r="X162" s="118">
        <f>Table14[[#This Row],[Coil Size]]*Table14[[#This Row],[D10]]/1000*VLOOKUP(Table14[[#This Row],[Navision Code]],'TABULAR PRICE LIST'!A:L,11,FALSE)</f>
        <v>0</v>
      </c>
      <c r="Y162" s="118">
        <f>IFERROR(Table14[[#This Row],[Coil Size]]*Table14[[#This Row],[D10]]/1000*VLOOKUP(Table14[[#This Row],[Navision Code]],'TABULAR PRICE LIST'!A:L,10,FALSE),0)</f>
        <v>0</v>
      </c>
      <c r="Z162" s="118">
        <f>VLOOKUP(C162,'TABULAR PRICE LIST'!$A:$L,12,FALSE)</f>
        <v>167879</v>
      </c>
      <c r="AA162" s="118">
        <f>Table14[[#This Row],[Coil Size]]*Table14[[#This Row],[D10]]/1000</f>
        <v>0</v>
      </c>
      <c r="AB162" s="118">
        <f>Table14[[#This Row],[Weight/KYD]]*Table14[[#This Row],[D10]]</f>
        <v>0</v>
      </c>
      <c r="AC162" s="177"/>
      <c r="AD162" s="118">
        <v>1</v>
      </c>
    </row>
    <row r="163" spans="1:30" ht="18.5" x14ac:dyDescent="0.45">
      <c r="A163" s="189" t="s">
        <v>34</v>
      </c>
      <c r="B163" s="18">
        <f t="shared" si="4"/>
        <v>151</v>
      </c>
      <c r="C163" s="21" t="s">
        <v>264</v>
      </c>
      <c r="D163" s="21" t="s">
        <v>211</v>
      </c>
      <c r="E163" s="21" t="s">
        <v>19</v>
      </c>
      <c r="F163" s="21">
        <v>500</v>
      </c>
      <c r="G163" s="22" t="s">
        <v>246</v>
      </c>
      <c r="H163" s="22" t="s">
        <v>346</v>
      </c>
      <c r="I163" s="20"/>
      <c r="J163" s="44">
        <f>Table1[[#This Row],[B]]</f>
        <v>0</v>
      </c>
      <c r="K163" s="44">
        <f>Table1[[#This Row],[BE]]</f>
        <v>0</v>
      </c>
      <c r="L163" s="44">
        <f>Table1[[#This Row],[G]]</f>
        <v>0</v>
      </c>
      <c r="M163" s="44">
        <f>Table1[[#This Row],[J]]</f>
        <v>0</v>
      </c>
      <c r="N163" s="193">
        <f>Table1[[#This Row],[N]]</f>
        <v>0</v>
      </c>
      <c r="O163" s="44">
        <f>Table1[[#This Row],[R]]</f>
        <v>0</v>
      </c>
      <c r="P163" s="44">
        <f>Table1[[#This Row],[V]]</f>
        <v>0</v>
      </c>
      <c r="Q163" s="44">
        <f>Table1[[#This Row],[VJ]]</f>
        <v>0</v>
      </c>
      <c r="R163" s="44">
        <f>Table1[[#This Row],[RN]]</f>
        <v>0</v>
      </c>
      <c r="S163" s="44">
        <f>Table1[[#This Row],[Blank]]</f>
        <v>0</v>
      </c>
      <c r="T163" s="105">
        <f>SUM(Table14[[#This Row],[B]:[Blank]])</f>
        <v>0</v>
      </c>
      <c r="U163" s="116">
        <v>1.8896470588235292</v>
      </c>
      <c r="V163" s="118">
        <f t="shared" si="5"/>
        <v>0</v>
      </c>
      <c r="W163" s="118">
        <v>1196</v>
      </c>
      <c r="X163" s="118">
        <f>Table14[[#This Row],[Coil Size]]*Table14[[#This Row],[D10]]/1000*VLOOKUP(Table14[[#This Row],[Navision Code]],'TABULAR PRICE LIST'!A:L,11,FALSE)</f>
        <v>0</v>
      </c>
      <c r="Y163" s="118">
        <f>IFERROR(Table14[[#This Row],[Coil Size]]*Table14[[#This Row],[D10]]/1000*VLOOKUP(Table14[[#This Row],[Navision Code]],'TABULAR PRICE LIST'!A:L,10,FALSE),0)</f>
        <v>0</v>
      </c>
      <c r="Z163" s="118">
        <f>VLOOKUP(C163,'TABULAR PRICE LIST'!$A:$L,12,FALSE)</f>
        <v>27729</v>
      </c>
      <c r="AA163" s="118">
        <f>Table14[[#This Row],[Coil Size]]*Table14[[#This Row],[D10]]/1000</f>
        <v>0</v>
      </c>
      <c r="AB163" s="118">
        <f>Table14[[#This Row],[Weight/KYD]]*Table14[[#This Row],[D10]]</f>
        <v>0</v>
      </c>
      <c r="AC163" s="177"/>
      <c r="AD163" s="118">
        <v>1</v>
      </c>
    </row>
    <row r="164" spans="1:30" ht="18.5" x14ac:dyDescent="0.45">
      <c r="A164" s="189" t="s">
        <v>34</v>
      </c>
      <c r="B164" s="18">
        <f t="shared" si="4"/>
        <v>152</v>
      </c>
      <c r="C164" s="21" t="s">
        <v>471</v>
      </c>
      <c r="D164" s="21" t="s">
        <v>211</v>
      </c>
      <c r="E164" s="21" t="s">
        <v>19</v>
      </c>
      <c r="F164" s="21">
        <v>500</v>
      </c>
      <c r="G164" s="22" t="s">
        <v>246</v>
      </c>
      <c r="H164" s="22" t="s">
        <v>472</v>
      </c>
      <c r="I164" s="20"/>
      <c r="J164" s="44">
        <f>Table1[[#This Row],[B]]</f>
        <v>0</v>
      </c>
      <c r="K164" s="44">
        <f>Table1[[#This Row],[BE]]</f>
        <v>0</v>
      </c>
      <c r="L164" s="44">
        <f>Table1[[#This Row],[G]]</f>
        <v>0</v>
      </c>
      <c r="M164" s="44">
        <f>Table1[[#This Row],[J]]</f>
        <v>0</v>
      </c>
      <c r="N164" s="193">
        <f>Table1[[#This Row],[N]]</f>
        <v>0</v>
      </c>
      <c r="O164" s="44">
        <f>Table1[[#This Row],[R]]</f>
        <v>0</v>
      </c>
      <c r="P164" s="44">
        <f>Table1[[#This Row],[V]]</f>
        <v>0</v>
      </c>
      <c r="Q164" s="44">
        <f>Table1[[#This Row],[VJ]]</f>
        <v>0</v>
      </c>
      <c r="R164" s="44">
        <f>Table1[[#This Row],[RN]]</f>
        <v>0</v>
      </c>
      <c r="S164" s="44">
        <f>Table1[[#This Row],[Blank]]</f>
        <v>0</v>
      </c>
      <c r="T164" s="105">
        <f>SUM(Table14[[#This Row],[B]:[Blank]])</f>
        <v>0</v>
      </c>
      <c r="U164" s="116">
        <v>2.3156195650792109</v>
      </c>
      <c r="V164" s="118">
        <f t="shared" si="5"/>
        <v>0</v>
      </c>
      <c r="W164" s="118">
        <v>1636</v>
      </c>
      <c r="X164" s="118">
        <f>Table14[[#This Row],[Coil Size]]*Table14[[#This Row],[D10]]/1000*VLOOKUP(Table14[[#This Row],[Navision Code]],'TABULAR PRICE LIST'!A:L,11,FALSE)</f>
        <v>0</v>
      </c>
      <c r="Y164" s="118">
        <f>IFERROR(Table14[[#This Row],[Coil Size]]*Table14[[#This Row],[D10]]/1000*VLOOKUP(Table14[[#This Row],[Navision Code]],'TABULAR PRICE LIST'!A:L,10,FALSE),0)</f>
        <v>0</v>
      </c>
      <c r="Z164" s="118">
        <f>VLOOKUP(C164,'TABULAR PRICE LIST'!$A:$L,12,FALSE)</f>
        <v>39971</v>
      </c>
      <c r="AA164" s="118">
        <f>Table14[[#This Row],[Coil Size]]*Table14[[#This Row],[D10]]/1000</f>
        <v>0</v>
      </c>
      <c r="AB164" s="118">
        <f>Table14[[#This Row],[Weight/KYD]]*Table14[[#This Row],[D10]]</f>
        <v>0</v>
      </c>
      <c r="AC164" s="177"/>
      <c r="AD164" s="118">
        <v>1</v>
      </c>
    </row>
    <row r="165" spans="1:30" ht="18.5" x14ac:dyDescent="0.45">
      <c r="A165" s="189" t="s">
        <v>34</v>
      </c>
      <c r="B165" s="18">
        <f t="shared" si="4"/>
        <v>153</v>
      </c>
      <c r="C165" s="21" t="s">
        <v>267</v>
      </c>
      <c r="D165" s="21" t="s">
        <v>211</v>
      </c>
      <c r="E165" s="21" t="s">
        <v>19</v>
      </c>
      <c r="F165" s="21">
        <v>500</v>
      </c>
      <c r="G165" s="22" t="s">
        <v>246</v>
      </c>
      <c r="H165" s="22" t="s">
        <v>268</v>
      </c>
      <c r="I165" s="20"/>
      <c r="J165" s="44">
        <f>Table1[[#This Row],[B]]</f>
        <v>0</v>
      </c>
      <c r="K165" s="44">
        <f>Table1[[#This Row],[BE]]</f>
        <v>0</v>
      </c>
      <c r="L165" s="44">
        <f>Table1[[#This Row],[G]]</f>
        <v>0</v>
      </c>
      <c r="M165" s="44">
        <f>Table1[[#This Row],[J]]</f>
        <v>0</v>
      </c>
      <c r="N165" s="193">
        <f>Table1[[#This Row],[N]]</f>
        <v>0</v>
      </c>
      <c r="O165" s="44">
        <f>Table1[[#This Row],[R]]</f>
        <v>0</v>
      </c>
      <c r="P165" s="44">
        <f>Table1[[#This Row],[V]]</f>
        <v>0</v>
      </c>
      <c r="Q165" s="44">
        <f>Table1[[#This Row],[VJ]]</f>
        <v>0</v>
      </c>
      <c r="R165" s="44">
        <f>Table1[[#This Row],[RN]]</f>
        <v>0</v>
      </c>
      <c r="S165" s="44">
        <f>Table1[[#This Row],[Blank]]</f>
        <v>0</v>
      </c>
      <c r="T165" s="105">
        <f>SUM(Table14[[#This Row],[B]:[Blank]])</f>
        <v>0</v>
      </c>
      <c r="U165" s="116">
        <v>3.2418081918081918</v>
      </c>
      <c r="V165" s="118">
        <f t="shared" si="5"/>
        <v>0</v>
      </c>
      <c r="W165" s="118">
        <v>2363</v>
      </c>
      <c r="X165" s="118">
        <f>Table14[[#This Row],[Coil Size]]*Table14[[#This Row],[D10]]/1000*VLOOKUP(Table14[[#This Row],[Navision Code]],'TABULAR PRICE LIST'!A:L,11,FALSE)</f>
        <v>0</v>
      </c>
      <c r="Y165" s="118">
        <f>IFERROR(Table14[[#This Row],[Coil Size]]*Table14[[#This Row],[D10]]/1000*VLOOKUP(Table14[[#This Row],[Navision Code]],'TABULAR PRICE LIST'!A:L,10,FALSE),0)</f>
        <v>0</v>
      </c>
      <c r="Z165" s="118">
        <f>VLOOKUP(C165,'TABULAR PRICE LIST'!$A:$L,12,FALSE)</f>
        <v>53789</v>
      </c>
      <c r="AA165" s="118">
        <f>Table14[[#This Row],[Coil Size]]*Table14[[#This Row],[D10]]/1000</f>
        <v>0</v>
      </c>
      <c r="AB165" s="118">
        <f>Table14[[#This Row],[Weight/KYD]]*Table14[[#This Row],[D10]]</f>
        <v>0</v>
      </c>
      <c r="AC165" s="177"/>
      <c r="AD165" s="118">
        <v>1</v>
      </c>
    </row>
    <row r="166" spans="1:30" ht="18.5" x14ac:dyDescent="0.45">
      <c r="A166" s="189" t="s">
        <v>34</v>
      </c>
      <c r="B166" s="18">
        <f t="shared" si="4"/>
        <v>154</v>
      </c>
      <c r="C166" s="21" t="s">
        <v>269</v>
      </c>
      <c r="D166" s="21" t="s">
        <v>211</v>
      </c>
      <c r="E166" s="21" t="s">
        <v>19</v>
      </c>
      <c r="F166" s="21">
        <v>500</v>
      </c>
      <c r="G166" s="22" t="s">
        <v>246</v>
      </c>
      <c r="H166" s="22" t="s">
        <v>270</v>
      </c>
      <c r="I166" s="20"/>
      <c r="J166" s="44">
        <f>Table1[[#This Row],[B]]</f>
        <v>0</v>
      </c>
      <c r="K166" s="44">
        <f>Table1[[#This Row],[BE]]</f>
        <v>0</v>
      </c>
      <c r="L166" s="44">
        <f>Table1[[#This Row],[G]]</f>
        <v>0</v>
      </c>
      <c r="M166" s="44">
        <f>Table1[[#This Row],[J]]</f>
        <v>0</v>
      </c>
      <c r="N166" s="193">
        <f>Table1[[#This Row],[N]]</f>
        <v>0</v>
      </c>
      <c r="O166" s="44">
        <f>Table1[[#This Row],[R]]</f>
        <v>0</v>
      </c>
      <c r="P166" s="44">
        <f>Table1[[#This Row],[V]]</f>
        <v>0</v>
      </c>
      <c r="Q166" s="44">
        <f>Table1[[#This Row],[VJ]]</f>
        <v>0</v>
      </c>
      <c r="R166" s="44">
        <f>Table1[[#This Row],[RN]]</f>
        <v>0</v>
      </c>
      <c r="S166" s="44">
        <f>Table1[[#This Row],[Blank]]</f>
        <v>0</v>
      </c>
      <c r="T166" s="105">
        <f>SUM(Table14[[#This Row],[B]:[Blank]])</f>
        <v>0</v>
      </c>
      <c r="U166" s="116">
        <v>4.2867526475490232</v>
      </c>
      <c r="V166" s="118">
        <f t="shared" si="5"/>
        <v>0</v>
      </c>
      <c r="W166" s="118">
        <v>3264</v>
      </c>
      <c r="X166" s="118">
        <f>Table14[[#This Row],[Coil Size]]*Table14[[#This Row],[D10]]/1000*VLOOKUP(Table14[[#This Row],[Navision Code]],'TABULAR PRICE LIST'!A:L,11,FALSE)</f>
        <v>0</v>
      </c>
      <c r="Y166" s="118">
        <f>IFERROR(Table14[[#This Row],[Coil Size]]*Table14[[#This Row],[D10]]/1000*VLOOKUP(Table14[[#This Row],[Navision Code]],'TABULAR PRICE LIST'!A:L,10,FALSE),0)</f>
        <v>0</v>
      </c>
      <c r="Z166" s="118">
        <f>VLOOKUP(C166,'TABULAR PRICE LIST'!$A:$L,12,FALSE)</f>
        <v>74841</v>
      </c>
      <c r="AA166" s="118">
        <f>Table14[[#This Row],[Coil Size]]*Table14[[#This Row],[D10]]/1000</f>
        <v>0</v>
      </c>
      <c r="AB166" s="118">
        <f>Table14[[#This Row],[Weight/KYD]]*Table14[[#This Row],[D10]]</f>
        <v>0</v>
      </c>
      <c r="AC166" s="177"/>
      <c r="AD166" s="118">
        <v>1</v>
      </c>
    </row>
    <row r="167" spans="1:30" ht="18.5" x14ac:dyDescent="0.45">
      <c r="A167" s="189" t="s">
        <v>34</v>
      </c>
      <c r="B167" s="18">
        <f t="shared" si="4"/>
        <v>155</v>
      </c>
      <c r="C167" s="21" t="s">
        <v>271</v>
      </c>
      <c r="D167" s="21" t="s">
        <v>211</v>
      </c>
      <c r="E167" s="21" t="s">
        <v>19</v>
      </c>
      <c r="F167" s="21">
        <v>500</v>
      </c>
      <c r="G167" s="22" t="s">
        <v>246</v>
      </c>
      <c r="H167" s="22" t="s">
        <v>272</v>
      </c>
      <c r="I167" s="20"/>
      <c r="J167" s="44">
        <f>Table1[[#This Row],[B]]</f>
        <v>0</v>
      </c>
      <c r="K167" s="44">
        <f>Table1[[#This Row],[BE]]</f>
        <v>0</v>
      </c>
      <c r="L167" s="44">
        <f>Table1[[#This Row],[G]]</f>
        <v>0</v>
      </c>
      <c r="M167" s="44">
        <f>Table1[[#This Row],[J]]</f>
        <v>0</v>
      </c>
      <c r="N167" s="193">
        <f>Table1[[#This Row],[N]]</f>
        <v>0</v>
      </c>
      <c r="O167" s="44">
        <f>Table1[[#This Row],[R]]</f>
        <v>0</v>
      </c>
      <c r="P167" s="44">
        <f>Table1[[#This Row],[V]]</f>
        <v>0</v>
      </c>
      <c r="Q167" s="44">
        <f>Table1[[#This Row],[VJ]]</f>
        <v>0</v>
      </c>
      <c r="R167" s="44">
        <f>Table1[[#This Row],[RN]]</f>
        <v>0</v>
      </c>
      <c r="S167" s="44">
        <f>Table1[[#This Row],[Blank]]</f>
        <v>0</v>
      </c>
      <c r="T167" s="105">
        <f>SUM(Table14[[#This Row],[B]:[Blank]])</f>
        <v>0</v>
      </c>
      <c r="U167" s="116">
        <v>5.4904706585276406</v>
      </c>
      <c r="V167" s="118">
        <f t="shared" si="5"/>
        <v>0</v>
      </c>
      <c r="W167" s="118">
        <v>4141</v>
      </c>
      <c r="X167" s="118">
        <f>Table14[[#This Row],[Coil Size]]*Table14[[#This Row],[D10]]/1000*VLOOKUP(Table14[[#This Row],[Navision Code]],'TABULAR PRICE LIST'!A:L,11,FALSE)</f>
        <v>0</v>
      </c>
      <c r="Y167" s="118">
        <f>IFERROR(Table14[[#This Row],[Coil Size]]*Table14[[#This Row],[D10]]/1000*VLOOKUP(Table14[[#This Row],[Navision Code]],'TABULAR PRICE LIST'!A:L,10,FALSE),0)</f>
        <v>0</v>
      </c>
      <c r="Z167" s="118">
        <f>VLOOKUP(C167,'TABULAR PRICE LIST'!$A:$L,12,FALSE)</f>
        <v>93547</v>
      </c>
      <c r="AA167" s="118">
        <f>Table14[[#This Row],[Coil Size]]*Table14[[#This Row],[D10]]/1000</f>
        <v>0</v>
      </c>
      <c r="AB167" s="118">
        <f>Table14[[#This Row],[Weight/KYD]]*Table14[[#This Row],[D10]]</f>
        <v>0</v>
      </c>
      <c r="AC167" s="177"/>
      <c r="AD167" s="118">
        <v>1</v>
      </c>
    </row>
    <row r="168" spans="1:30" ht="18.5" x14ac:dyDescent="0.45">
      <c r="A168" s="189" t="s">
        <v>34</v>
      </c>
      <c r="B168" s="18">
        <f t="shared" si="4"/>
        <v>156</v>
      </c>
      <c r="C168" s="21" t="s">
        <v>266</v>
      </c>
      <c r="D168" s="21" t="s">
        <v>211</v>
      </c>
      <c r="E168" s="21" t="s">
        <v>19</v>
      </c>
      <c r="F168" s="21">
        <v>1000</v>
      </c>
      <c r="G168" s="22" t="s">
        <v>246</v>
      </c>
      <c r="H168" s="22" t="s">
        <v>273</v>
      </c>
      <c r="I168" s="20"/>
      <c r="J168" s="44">
        <f>Table1[[#This Row],[B]]</f>
        <v>0</v>
      </c>
      <c r="K168" s="44">
        <f>Table1[[#This Row],[BE]]</f>
        <v>0</v>
      </c>
      <c r="L168" s="44">
        <f>Table1[[#This Row],[G]]</f>
        <v>0</v>
      </c>
      <c r="M168" s="44">
        <f>Table1[[#This Row],[J]]</f>
        <v>0</v>
      </c>
      <c r="N168" s="193">
        <f>Table1[[#This Row],[N]]</f>
        <v>0</v>
      </c>
      <c r="O168" s="44">
        <f>Table1[[#This Row],[R]]</f>
        <v>0</v>
      </c>
      <c r="P168" s="44">
        <f>Table1[[#This Row],[V]]</f>
        <v>0</v>
      </c>
      <c r="Q168" s="44">
        <f>Table1[[#This Row],[VJ]]</f>
        <v>0</v>
      </c>
      <c r="R168" s="44">
        <f>Table1[[#This Row],[RN]]</f>
        <v>0</v>
      </c>
      <c r="S168" s="44">
        <f>Table1[[#This Row],[Blank]]</f>
        <v>0</v>
      </c>
      <c r="T168" s="105">
        <f>SUM(Table14[[#This Row],[B]:[Blank]])</f>
        <v>0</v>
      </c>
      <c r="U168" s="116">
        <v>6.7718914542247877</v>
      </c>
      <c r="V168" s="118">
        <f t="shared" si="5"/>
        <v>0</v>
      </c>
      <c r="W168" s="118">
        <v>5090</v>
      </c>
      <c r="X168" s="118">
        <f>Table14[[#This Row],[Coil Size]]*Table14[[#This Row],[D10]]/1000*VLOOKUP(Table14[[#This Row],[Navision Code]],'TABULAR PRICE LIST'!A:L,11,FALSE)</f>
        <v>0</v>
      </c>
      <c r="Y168" s="118">
        <f>IFERROR(Table14[[#This Row],[Coil Size]]*Table14[[#This Row],[D10]]/1000*VLOOKUP(Table14[[#This Row],[Navision Code]],'TABULAR PRICE LIST'!A:L,10,FALSE),0)</f>
        <v>0</v>
      </c>
      <c r="Z168" s="118">
        <f>VLOOKUP(C168,'TABULAR PRICE LIST'!$A:$L,12,FALSE)</f>
        <v>114992</v>
      </c>
      <c r="AA168" s="118">
        <f>Table14[[#This Row],[Coil Size]]*Table14[[#This Row],[D10]]/1000</f>
        <v>0</v>
      </c>
      <c r="AB168" s="118">
        <f>Table14[[#This Row],[Weight/KYD]]*Table14[[#This Row],[D10]]</f>
        <v>0</v>
      </c>
      <c r="AC168" s="177"/>
      <c r="AD168" s="118">
        <v>1</v>
      </c>
    </row>
    <row r="169" spans="1:30" ht="18.5" x14ac:dyDescent="0.45">
      <c r="A169" s="189" t="s">
        <v>34</v>
      </c>
      <c r="B169" s="18">
        <f t="shared" si="4"/>
        <v>157</v>
      </c>
      <c r="C169" s="21" t="s">
        <v>274</v>
      </c>
      <c r="D169" s="21" t="s">
        <v>211</v>
      </c>
      <c r="E169" s="21" t="s">
        <v>19</v>
      </c>
      <c r="F169" s="21">
        <v>1000</v>
      </c>
      <c r="G169" s="22" t="s">
        <v>246</v>
      </c>
      <c r="H169" s="22" t="s">
        <v>275</v>
      </c>
      <c r="I169" s="20"/>
      <c r="J169" s="44">
        <f>Table1[[#This Row],[B]]</f>
        <v>0</v>
      </c>
      <c r="K169" s="44">
        <f>Table1[[#This Row],[BE]]</f>
        <v>0</v>
      </c>
      <c r="L169" s="44">
        <f>Table1[[#This Row],[G]]</f>
        <v>0</v>
      </c>
      <c r="M169" s="44">
        <f>Table1[[#This Row],[J]]</f>
        <v>0</v>
      </c>
      <c r="N169" s="193">
        <f>Table1[[#This Row],[N]]</f>
        <v>0</v>
      </c>
      <c r="O169" s="44">
        <f>Table1[[#This Row],[R]]</f>
        <v>0</v>
      </c>
      <c r="P169" s="44">
        <f>Table1[[#This Row],[V]]</f>
        <v>0</v>
      </c>
      <c r="Q169" s="44">
        <f>Table1[[#This Row],[VJ]]</f>
        <v>0</v>
      </c>
      <c r="R169" s="44">
        <f>Table1[[#This Row],[RN]]</f>
        <v>0</v>
      </c>
      <c r="S169" s="44">
        <f>Table1[[#This Row],[Blank]]</f>
        <v>0</v>
      </c>
      <c r="T169" s="105">
        <f>SUM(Table14[[#This Row],[B]:[Blank]])</f>
        <v>0</v>
      </c>
      <c r="U169" s="116">
        <v>8.4008523666234431</v>
      </c>
      <c r="V169" s="118">
        <f t="shared" si="5"/>
        <v>0</v>
      </c>
      <c r="W169" s="118">
        <v>6383</v>
      </c>
      <c r="X169" s="118">
        <f>Table14[[#This Row],[Coil Size]]*Table14[[#This Row],[D10]]/1000*VLOOKUP(Table14[[#This Row],[Navision Code]],'TABULAR PRICE LIST'!A:L,11,FALSE)</f>
        <v>0</v>
      </c>
      <c r="Y169" s="118">
        <f>IFERROR(Table14[[#This Row],[Coil Size]]*Table14[[#This Row],[D10]]/1000*VLOOKUP(Table14[[#This Row],[Navision Code]],'TABULAR PRICE LIST'!A:L,10,FALSE),0)</f>
        <v>0</v>
      </c>
      <c r="Z169" s="118">
        <f>VLOOKUP(C169,'TABULAR PRICE LIST'!$A:$L,12,FALSE)</f>
        <v>143724</v>
      </c>
      <c r="AA169" s="118">
        <f>Table14[[#This Row],[Coil Size]]*Table14[[#This Row],[D10]]/1000</f>
        <v>0</v>
      </c>
      <c r="AB169" s="118">
        <f>Table14[[#This Row],[Weight/KYD]]*Table14[[#This Row],[D10]]</f>
        <v>0</v>
      </c>
      <c r="AC169" s="177"/>
      <c r="AD169" s="118">
        <v>1</v>
      </c>
    </row>
    <row r="170" spans="1:30" thickBot="1" x14ac:dyDescent="0.5">
      <c r="A170" s="189" t="s">
        <v>34</v>
      </c>
      <c r="B170" s="26">
        <f t="shared" si="4"/>
        <v>158</v>
      </c>
      <c r="C170" s="40" t="s">
        <v>276</v>
      </c>
      <c r="D170" s="40" t="s">
        <v>211</v>
      </c>
      <c r="E170" s="40" t="s">
        <v>19</v>
      </c>
      <c r="F170" s="40">
        <v>1000</v>
      </c>
      <c r="G170" s="41" t="s">
        <v>246</v>
      </c>
      <c r="H170" s="41" t="s">
        <v>277</v>
      </c>
      <c r="I170" s="28"/>
      <c r="J170" s="48">
        <f>Table1[[#This Row],[B]]</f>
        <v>0</v>
      </c>
      <c r="K170" s="48">
        <f>Table1[[#This Row],[BE]]</f>
        <v>0</v>
      </c>
      <c r="L170" s="48">
        <f>Table1[[#This Row],[G]]</f>
        <v>0</v>
      </c>
      <c r="M170" s="48">
        <f>Table1[[#This Row],[J]]</f>
        <v>0</v>
      </c>
      <c r="N170" s="197">
        <f>Table1[[#This Row],[N]]</f>
        <v>0</v>
      </c>
      <c r="O170" s="48">
        <f>Table1[[#This Row],[R]]</f>
        <v>0</v>
      </c>
      <c r="P170" s="48">
        <f>Table1[[#This Row],[V]]</f>
        <v>0</v>
      </c>
      <c r="Q170" s="48">
        <f>Table1[[#This Row],[VJ]]</f>
        <v>0</v>
      </c>
      <c r="R170" s="48">
        <f>Table1[[#This Row],[RN]]</f>
        <v>0</v>
      </c>
      <c r="S170" s="48">
        <f>Table1[[#This Row],[Blank]]</f>
        <v>0</v>
      </c>
      <c r="T170" s="110">
        <f>SUM(Table14[[#This Row],[B]:[Blank]])</f>
        <v>0</v>
      </c>
      <c r="U170" s="122">
        <v>11.023440990155798</v>
      </c>
      <c r="V170" s="123">
        <f t="shared" si="5"/>
        <v>0</v>
      </c>
      <c r="W170" s="131">
        <v>8464</v>
      </c>
      <c r="X170" s="131">
        <f>Table14[[#This Row],[Coil Size]]*Table14[[#This Row],[D10]]/1000*VLOOKUP(Table14[[#This Row],[Navision Code]],'TABULAR PRICE LIST'!A:L,11,FALSE)</f>
        <v>0</v>
      </c>
      <c r="Y170" s="131">
        <f>IFERROR(Table14[[#This Row],[Coil Size]]*Table14[[#This Row],[D10]]/1000*VLOOKUP(Table14[[#This Row],[Navision Code]],'TABULAR PRICE LIST'!A:L,10,FALSE),0)</f>
        <v>0</v>
      </c>
      <c r="Z170" s="131">
        <f>VLOOKUP(C170,'TABULAR PRICE LIST'!$A:$L,12,FALSE)</f>
        <v>189996</v>
      </c>
      <c r="AA170" s="131">
        <f>Table14[[#This Row],[Coil Size]]*Table14[[#This Row],[D10]]/1000</f>
        <v>0</v>
      </c>
      <c r="AB170" s="131">
        <f>Table14[[#This Row],[Weight/KYD]]*Table14[[#This Row],[D10]]</f>
        <v>0</v>
      </c>
      <c r="AC170" s="177"/>
      <c r="AD170" s="131">
        <v>1</v>
      </c>
    </row>
    <row r="171" spans="1:30" ht="18.5" x14ac:dyDescent="0.45">
      <c r="A171" s="189" t="s">
        <v>34</v>
      </c>
      <c r="B171" s="15">
        <f t="shared" si="4"/>
        <v>159</v>
      </c>
      <c r="C171" s="38" t="s">
        <v>278</v>
      </c>
      <c r="D171" s="38" t="s">
        <v>211</v>
      </c>
      <c r="E171" s="38" t="s">
        <v>19</v>
      </c>
      <c r="F171" s="38">
        <v>1000</v>
      </c>
      <c r="G171" s="39" t="s">
        <v>279</v>
      </c>
      <c r="H171" s="39" t="s">
        <v>280</v>
      </c>
      <c r="I171" s="17"/>
      <c r="J171" s="42">
        <f>Table1[[#This Row],[B]]</f>
        <v>0</v>
      </c>
      <c r="K171" s="42">
        <f>Table1[[#This Row],[BE]]</f>
        <v>0</v>
      </c>
      <c r="L171" s="42">
        <f>Table1[[#This Row],[G]]</f>
        <v>0</v>
      </c>
      <c r="M171" s="42">
        <f>Table1[[#This Row],[J]]</f>
        <v>0</v>
      </c>
      <c r="N171" s="190">
        <f>Table1[[#This Row],[N]]</f>
        <v>0</v>
      </c>
      <c r="O171" s="42">
        <f>Table1[[#This Row],[R]]</f>
        <v>0</v>
      </c>
      <c r="P171" s="42">
        <f>Table1[[#This Row],[V]]</f>
        <v>0</v>
      </c>
      <c r="Q171" s="42">
        <f>Table1[[#This Row],[VJ]]</f>
        <v>0</v>
      </c>
      <c r="R171" s="42">
        <f>Table1[[#This Row],[RN]]</f>
        <v>0</v>
      </c>
      <c r="S171" s="42">
        <f>Table1[[#This Row],[Blank]]</f>
        <v>0</v>
      </c>
      <c r="T171" s="109">
        <f>SUM(Table14[[#This Row],[B]:[Blank]])</f>
        <v>0</v>
      </c>
      <c r="U171" s="114">
        <v>0.24</v>
      </c>
      <c r="V171" s="115">
        <f t="shared" si="5"/>
        <v>0</v>
      </c>
      <c r="W171" s="202">
        <v>87.06</v>
      </c>
      <c r="X171" s="202" t="e">
        <f>Table14[[#This Row],[Coil Size]]*Table14[[#This Row],[D10]]/1000*VLOOKUP(Table14[[#This Row],[Navision Code]],'TABULAR PRICE LIST'!A:L,11,FALSE)</f>
        <v>#N/A</v>
      </c>
      <c r="Y171" s="202">
        <f>IFERROR(Table14[[#This Row],[Coil Size]]*Table14[[#This Row],[D10]]/1000*VLOOKUP(Table14[[#This Row],[Navision Code]],'TABULAR PRICE LIST'!A:L,10,FALSE),0)</f>
        <v>0</v>
      </c>
      <c r="Z171" s="202" t="e">
        <f>VLOOKUP(C171,'TABULAR PRICE LIST'!$A:$L,12,FALSE)</f>
        <v>#N/A</v>
      </c>
      <c r="AA171" s="202">
        <f>Table14[[#This Row],[Coil Size]]*Table14[[#This Row],[D10]]/1000</f>
        <v>0</v>
      </c>
      <c r="AB171" s="202">
        <f>Table14[[#This Row],[Weight/KYD]]*Table14[[#This Row],[D10]]</f>
        <v>0</v>
      </c>
      <c r="AC171" s="177"/>
      <c r="AD171" s="202">
        <v>1</v>
      </c>
    </row>
    <row r="172" spans="1:30" ht="18.5" x14ac:dyDescent="0.45">
      <c r="A172" s="189" t="s">
        <v>34</v>
      </c>
      <c r="B172" s="18">
        <f t="shared" si="4"/>
        <v>160</v>
      </c>
      <c r="C172" s="21" t="s">
        <v>281</v>
      </c>
      <c r="D172" s="21" t="s">
        <v>211</v>
      </c>
      <c r="E172" s="21" t="s">
        <v>19</v>
      </c>
      <c r="F172" s="21">
        <v>500</v>
      </c>
      <c r="G172" s="22" t="s">
        <v>279</v>
      </c>
      <c r="H172" s="22" t="s">
        <v>282</v>
      </c>
      <c r="I172" s="20"/>
      <c r="J172" s="44">
        <f>Table1[[#This Row],[B]]</f>
        <v>0</v>
      </c>
      <c r="K172" s="44">
        <f>Table1[[#This Row],[BE]]</f>
        <v>0</v>
      </c>
      <c r="L172" s="44">
        <f>Table1[[#This Row],[G]]</f>
        <v>0</v>
      </c>
      <c r="M172" s="44">
        <f>Table1[[#This Row],[J]]</f>
        <v>0</v>
      </c>
      <c r="N172" s="193">
        <f>Table1[[#This Row],[N]]</f>
        <v>0</v>
      </c>
      <c r="O172" s="44">
        <f>Table1[[#This Row],[R]]</f>
        <v>0</v>
      </c>
      <c r="P172" s="44">
        <f>Table1[[#This Row],[V]]</f>
        <v>0</v>
      </c>
      <c r="Q172" s="44">
        <f>Table1[[#This Row],[VJ]]</f>
        <v>0</v>
      </c>
      <c r="R172" s="44">
        <f>Table1[[#This Row],[RN]]</f>
        <v>0</v>
      </c>
      <c r="S172" s="44">
        <f>Table1[[#This Row],[Blank]]</f>
        <v>0</v>
      </c>
      <c r="T172" s="105">
        <f>SUM(Table14[[#This Row],[B]:[Blank]])</f>
        <v>0</v>
      </c>
      <c r="U172" s="116">
        <v>0.33457797066746486</v>
      </c>
      <c r="V172" s="118">
        <f t="shared" si="5"/>
        <v>0</v>
      </c>
      <c r="W172" s="111">
        <v>136.80000000000001</v>
      </c>
      <c r="X172" s="111" t="e">
        <f>Table14[[#This Row],[Coil Size]]*Table14[[#This Row],[D10]]/1000*VLOOKUP(Table14[[#This Row],[Navision Code]],'TABULAR PRICE LIST'!A:L,11,FALSE)</f>
        <v>#N/A</v>
      </c>
      <c r="Y172" s="111">
        <f>IFERROR(Table14[[#This Row],[Coil Size]]*Table14[[#This Row],[D10]]/1000*VLOOKUP(Table14[[#This Row],[Navision Code]],'TABULAR PRICE LIST'!A:L,10,FALSE),0)</f>
        <v>0</v>
      </c>
      <c r="Z172" s="111" t="e">
        <f>VLOOKUP(C172,'TABULAR PRICE LIST'!$A:$L,12,FALSE)</f>
        <v>#N/A</v>
      </c>
      <c r="AA172" s="111">
        <f>Table14[[#This Row],[Coil Size]]*Table14[[#This Row],[D10]]/1000</f>
        <v>0</v>
      </c>
      <c r="AB172" s="111">
        <f>Table14[[#This Row],[Weight/KYD]]*Table14[[#This Row],[D10]]</f>
        <v>0</v>
      </c>
      <c r="AC172" s="177"/>
      <c r="AD172" s="111">
        <v>1</v>
      </c>
    </row>
    <row r="173" spans="1:30" ht="18.5" x14ac:dyDescent="0.45">
      <c r="A173" s="189" t="s">
        <v>34</v>
      </c>
      <c r="B173" s="18">
        <f t="shared" si="4"/>
        <v>161</v>
      </c>
      <c r="C173" s="21" t="s">
        <v>457</v>
      </c>
      <c r="D173" s="21" t="s">
        <v>211</v>
      </c>
      <c r="E173" s="21" t="s">
        <v>19</v>
      </c>
      <c r="F173" s="21">
        <v>1000</v>
      </c>
      <c r="G173" s="22" t="s">
        <v>279</v>
      </c>
      <c r="H173" s="22" t="s">
        <v>284</v>
      </c>
      <c r="I173" s="20"/>
      <c r="J173" s="44">
        <f>Table1[[#This Row],[B]]</f>
        <v>0</v>
      </c>
      <c r="K173" s="44">
        <f>Table1[[#This Row],[BE]]</f>
        <v>0</v>
      </c>
      <c r="L173" s="44">
        <f>Table1[[#This Row],[G]]</f>
        <v>0</v>
      </c>
      <c r="M173" s="44">
        <f>Table1[[#This Row],[J]]</f>
        <v>0</v>
      </c>
      <c r="N173" s="193">
        <f>Table1[[#This Row],[N]]</f>
        <v>0</v>
      </c>
      <c r="O173" s="44">
        <f>Table1[[#This Row],[R]]</f>
        <v>0</v>
      </c>
      <c r="P173" s="44">
        <f>Table1[[#This Row],[V]]</f>
        <v>0</v>
      </c>
      <c r="Q173" s="44">
        <f>Table1[[#This Row],[VJ]]</f>
        <v>0</v>
      </c>
      <c r="R173" s="44">
        <f>Table1[[#This Row],[RN]]</f>
        <v>0</v>
      </c>
      <c r="S173" s="44">
        <f>Table1[[#This Row],[Blank]]</f>
        <v>0</v>
      </c>
      <c r="T173" s="105">
        <f>SUM(Table14[[#This Row],[B]:[Blank]])</f>
        <v>0</v>
      </c>
      <c r="U173" s="116">
        <v>0.44031311154598823</v>
      </c>
      <c r="V173" s="118">
        <f t="shared" si="5"/>
        <v>0</v>
      </c>
      <c r="W173" s="111">
        <v>204</v>
      </c>
      <c r="X173" s="111" t="e">
        <f>Table14[[#This Row],[Coil Size]]*Table14[[#This Row],[D10]]/1000*VLOOKUP(Table14[[#This Row],[Navision Code]],'TABULAR PRICE LIST'!A:L,11,FALSE)</f>
        <v>#N/A</v>
      </c>
      <c r="Y173" s="111">
        <f>IFERROR(Table14[[#This Row],[Coil Size]]*Table14[[#This Row],[D10]]/1000*VLOOKUP(Table14[[#This Row],[Navision Code]],'TABULAR PRICE LIST'!A:L,10,FALSE),0)</f>
        <v>0</v>
      </c>
      <c r="Z173" s="111" t="e">
        <f>VLOOKUP(C173,'TABULAR PRICE LIST'!$A:$L,12,FALSE)</f>
        <v>#N/A</v>
      </c>
      <c r="AA173" s="111">
        <f>Table14[[#This Row],[Coil Size]]*Table14[[#This Row],[D10]]/1000</f>
        <v>0</v>
      </c>
      <c r="AB173" s="111">
        <f>Table14[[#This Row],[Weight/KYD]]*Table14[[#This Row],[D10]]</f>
        <v>0</v>
      </c>
      <c r="AC173" s="177"/>
      <c r="AD173" s="111">
        <v>1</v>
      </c>
    </row>
    <row r="174" spans="1:30" ht="18.5" x14ac:dyDescent="0.45">
      <c r="A174" s="189" t="s">
        <v>34</v>
      </c>
      <c r="B174" s="18">
        <f t="shared" si="4"/>
        <v>162</v>
      </c>
      <c r="C174" s="21" t="s">
        <v>285</v>
      </c>
      <c r="D174" s="21" t="s">
        <v>211</v>
      </c>
      <c r="E174" s="21" t="s">
        <v>19</v>
      </c>
      <c r="F174" s="21">
        <v>1000</v>
      </c>
      <c r="G174" s="22" t="s">
        <v>279</v>
      </c>
      <c r="H174" s="22" t="s">
        <v>286</v>
      </c>
      <c r="I174" s="20"/>
      <c r="J174" s="44">
        <f>Table1[[#This Row],[B]]</f>
        <v>0</v>
      </c>
      <c r="K174" s="44">
        <f>Table1[[#This Row],[BE]]</f>
        <v>0</v>
      </c>
      <c r="L174" s="44">
        <f>Table1[[#This Row],[G]]</f>
        <v>0</v>
      </c>
      <c r="M174" s="44">
        <f>Table1[[#This Row],[J]]</f>
        <v>0</v>
      </c>
      <c r="N174" s="193">
        <f>Table1[[#This Row],[N]]</f>
        <v>0</v>
      </c>
      <c r="O174" s="44">
        <f>Table1[[#This Row],[R]]</f>
        <v>0</v>
      </c>
      <c r="P174" s="44">
        <f>Table1[[#This Row],[V]]</f>
        <v>0</v>
      </c>
      <c r="Q174" s="44">
        <f>Table1[[#This Row],[VJ]]</f>
        <v>0</v>
      </c>
      <c r="R174" s="44">
        <f>Table1[[#This Row],[RN]]</f>
        <v>0</v>
      </c>
      <c r="S174" s="44">
        <f>Table1[[#This Row],[Blank]]</f>
        <v>0</v>
      </c>
      <c r="T174" s="105">
        <f>SUM(Table14[[#This Row],[B]:[Blank]])</f>
        <v>0</v>
      </c>
      <c r="U174" s="116">
        <v>0.58829382603942248</v>
      </c>
      <c r="V174" s="118">
        <f t="shared" si="5"/>
        <v>0</v>
      </c>
      <c r="W174" s="118">
        <f>4*10*8.89/1000</f>
        <v>0.35560000000000003</v>
      </c>
      <c r="X174" s="118" t="e">
        <f>Table14[[#This Row],[Coil Size]]*Table14[[#This Row],[D10]]/1000*VLOOKUP(Table14[[#This Row],[Navision Code]],'TABULAR PRICE LIST'!A:L,11,FALSE)</f>
        <v>#N/A</v>
      </c>
      <c r="Y174" s="118">
        <f>IFERROR(Table14[[#This Row],[Coil Size]]*Table14[[#This Row],[D10]]/1000*VLOOKUP(Table14[[#This Row],[Navision Code]],'TABULAR PRICE LIST'!A:L,10,FALSE),0)</f>
        <v>0</v>
      </c>
      <c r="Z174" s="118" t="e">
        <f>VLOOKUP(C174,'TABULAR PRICE LIST'!$A:$L,12,FALSE)</f>
        <v>#N/A</v>
      </c>
      <c r="AA174" s="118">
        <f>Table14[[#This Row],[Coil Size]]*Table14[[#This Row],[D10]]/1000</f>
        <v>0</v>
      </c>
      <c r="AB174" s="118">
        <f>Table14[[#This Row],[Weight/KYD]]*Table14[[#This Row],[D10]]</f>
        <v>0</v>
      </c>
      <c r="AC174" s="177"/>
      <c r="AD174" s="118">
        <v>1</v>
      </c>
    </row>
    <row r="175" spans="1:30" ht="18.5" x14ac:dyDescent="0.45">
      <c r="A175" s="189" t="s">
        <v>34</v>
      </c>
      <c r="B175" s="18">
        <f t="shared" si="4"/>
        <v>163</v>
      </c>
      <c r="C175" s="21" t="s">
        <v>283</v>
      </c>
      <c r="D175" s="21" t="s">
        <v>211</v>
      </c>
      <c r="E175" s="21" t="s">
        <v>19</v>
      </c>
      <c r="F175" s="21">
        <v>1000</v>
      </c>
      <c r="G175" s="22" t="s">
        <v>279</v>
      </c>
      <c r="H175" s="22" t="s">
        <v>287</v>
      </c>
      <c r="I175" s="20"/>
      <c r="J175" s="44">
        <f>Table1[[#This Row],[B]]</f>
        <v>0</v>
      </c>
      <c r="K175" s="44">
        <f>Table1[[#This Row],[BE]]</f>
        <v>0</v>
      </c>
      <c r="L175" s="44">
        <f>Table1[[#This Row],[G]]</f>
        <v>0</v>
      </c>
      <c r="M175" s="44">
        <f>Table1[[#This Row],[J]]</f>
        <v>0</v>
      </c>
      <c r="N175" s="193">
        <f>Table1[[#This Row],[N]]</f>
        <v>0</v>
      </c>
      <c r="O175" s="44">
        <f>Table1[[#This Row],[R]]</f>
        <v>0</v>
      </c>
      <c r="P175" s="44">
        <f>Table1[[#This Row],[V]]</f>
        <v>0</v>
      </c>
      <c r="Q175" s="44">
        <f>Table1[[#This Row],[VJ]]</f>
        <v>0</v>
      </c>
      <c r="R175" s="44">
        <f>Table1[[#This Row],[RN]]</f>
        <v>0</v>
      </c>
      <c r="S175" s="44">
        <f>Table1[[#This Row],[Blank]]</f>
        <v>0</v>
      </c>
      <c r="T175" s="105">
        <f>SUM(Table14[[#This Row],[B]:[Blank]])</f>
        <v>0</v>
      </c>
      <c r="U175" s="116">
        <v>0.87268867821965168</v>
      </c>
      <c r="V175" s="118">
        <f t="shared" si="5"/>
        <v>0</v>
      </c>
      <c r="W175" s="118">
        <f>4*16*8.89/1000</f>
        <v>0.56896000000000002</v>
      </c>
      <c r="X175" s="118" t="e">
        <f>Table14[[#This Row],[Coil Size]]*Table14[[#This Row],[D10]]/1000*VLOOKUP(Table14[[#This Row],[Navision Code]],'TABULAR PRICE LIST'!A:L,11,FALSE)</f>
        <v>#N/A</v>
      </c>
      <c r="Y175" s="118">
        <f>IFERROR(Table14[[#This Row],[Coil Size]]*Table14[[#This Row],[D10]]/1000*VLOOKUP(Table14[[#This Row],[Navision Code]],'TABULAR PRICE LIST'!A:L,10,FALSE),0)</f>
        <v>0</v>
      </c>
      <c r="Z175" s="118" t="e">
        <f>VLOOKUP(C175,'TABULAR PRICE LIST'!$A:$L,12,FALSE)</f>
        <v>#N/A</v>
      </c>
      <c r="AA175" s="118">
        <f>Table14[[#This Row],[Coil Size]]*Table14[[#This Row],[D10]]/1000</f>
        <v>0</v>
      </c>
      <c r="AB175" s="118">
        <f>Table14[[#This Row],[Weight/KYD]]*Table14[[#This Row],[D10]]</f>
        <v>0</v>
      </c>
      <c r="AC175" s="177"/>
      <c r="AD175" s="118">
        <v>1</v>
      </c>
    </row>
    <row r="176" spans="1:30" ht="18.5" x14ac:dyDescent="0.45">
      <c r="A176" s="189" t="s">
        <v>34</v>
      </c>
      <c r="B176" s="18">
        <f t="shared" si="4"/>
        <v>164</v>
      </c>
      <c r="C176" s="21" t="s">
        <v>288</v>
      </c>
      <c r="D176" s="21" t="s">
        <v>211</v>
      </c>
      <c r="E176" s="21" t="s">
        <v>19</v>
      </c>
      <c r="F176" s="21">
        <v>1000</v>
      </c>
      <c r="G176" s="22" t="s">
        <v>279</v>
      </c>
      <c r="H176" s="22" t="s">
        <v>289</v>
      </c>
      <c r="I176" s="20"/>
      <c r="J176" s="44">
        <f>Table1[[#This Row],[B]]</f>
        <v>0</v>
      </c>
      <c r="K176" s="44">
        <f>Table1[[#This Row],[BE]]</f>
        <v>0</v>
      </c>
      <c r="L176" s="44">
        <f>Table1[[#This Row],[G]]</f>
        <v>0</v>
      </c>
      <c r="M176" s="44">
        <f>Table1[[#This Row],[J]]</f>
        <v>0</v>
      </c>
      <c r="N176" s="193">
        <f>Table1[[#This Row],[N]]</f>
        <v>0</v>
      </c>
      <c r="O176" s="44">
        <f>Table1[[#This Row],[R]]</f>
        <v>0</v>
      </c>
      <c r="P176" s="44">
        <f>Table1[[#This Row],[V]]</f>
        <v>0</v>
      </c>
      <c r="Q176" s="44">
        <f>Table1[[#This Row],[VJ]]</f>
        <v>0</v>
      </c>
      <c r="R176" s="44">
        <f>Table1[[#This Row],[RN]]</f>
        <v>0</v>
      </c>
      <c r="S176" s="44">
        <f>Table1[[#This Row],[Blank]]</f>
        <v>0</v>
      </c>
      <c r="T176" s="105">
        <f>SUM(Table14[[#This Row],[B]:[Blank]])</f>
        <v>0</v>
      </c>
      <c r="U176" s="116">
        <v>1.6798765432098763</v>
      </c>
      <c r="V176" s="118">
        <f t="shared" si="5"/>
        <v>0</v>
      </c>
      <c r="W176" s="118">
        <f>4*25*8.89/1000</f>
        <v>0.88900000000000001</v>
      </c>
      <c r="X176" s="118" t="e">
        <f>Table14[[#This Row],[Coil Size]]*Table14[[#This Row],[D10]]/1000*VLOOKUP(Table14[[#This Row],[Navision Code]],'TABULAR PRICE LIST'!A:L,11,FALSE)</f>
        <v>#N/A</v>
      </c>
      <c r="Y176" s="118">
        <f>IFERROR(Table14[[#This Row],[Coil Size]]*Table14[[#This Row],[D10]]/1000*VLOOKUP(Table14[[#This Row],[Navision Code]],'TABULAR PRICE LIST'!A:L,10,FALSE),0)</f>
        <v>0</v>
      </c>
      <c r="Z176" s="118" t="e">
        <f>VLOOKUP(C176,'TABULAR PRICE LIST'!$A:$L,12,FALSE)</f>
        <v>#N/A</v>
      </c>
      <c r="AA176" s="118">
        <f>Table14[[#This Row],[Coil Size]]*Table14[[#This Row],[D10]]/1000</f>
        <v>0</v>
      </c>
      <c r="AB176" s="118">
        <f>Table14[[#This Row],[Weight/KYD]]*Table14[[#This Row],[D10]]</f>
        <v>0</v>
      </c>
      <c r="AC176" s="177"/>
      <c r="AD176" s="118">
        <v>1</v>
      </c>
    </row>
    <row r="177" spans="1:30" ht="18.5" x14ac:dyDescent="0.45">
      <c r="A177" s="189" t="s">
        <v>34</v>
      </c>
      <c r="B177" s="18">
        <f t="shared" ref="B177:B243" si="6">B176+1</f>
        <v>165</v>
      </c>
      <c r="C177" s="21" t="s">
        <v>290</v>
      </c>
      <c r="D177" s="21" t="s">
        <v>211</v>
      </c>
      <c r="E177" s="21" t="s">
        <v>19</v>
      </c>
      <c r="F177" s="21">
        <v>1000</v>
      </c>
      <c r="G177" s="22" t="s">
        <v>279</v>
      </c>
      <c r="H177" s="22" t="s">
        <v>265</v>
      </c>
      <c r="I177" s="20"/>
      <c r="J177" s="44" t="e">
        <f>Table1[[#This Row],[B]]</f>
        <v>#VALUE!</v>
      </c>
      <c r="K177" s="44" t="e">
        <f>Table1[[#This Row],[BE]]</f>
        <v>#VALUE!</v>
      </c>
      <c r="L177" s="44" t="e">
        <f>Table1[[#This Row],[G]]</f>
        <v>#VALUE!</v>
      </c>
      <c r="M177" s="44" t="e">
        <f>Table1[[#This Row],[J]]</f>
        <v>#VALUE!</v>
      </c>
      <c r="N177" s="193" t="e">
        <f>Table1[[#This Row],[N]]</f>
        <v>#VALUE!</v>
      </c>
      <c r="O177" s="44" t="e">
        <f>Table1[[#This Row],[R]]</f>
        <v>#VALUE!</v>
      </c>
      <c r="P177" s="44" t="e">
        <f>Table1[[#This Row],[V]]</f>
        <v>#VALUE!</v>
      </c>
      <c r="Q177" s="44" t="e">
        <f>Table1[[#This Row],[VJ]]</f>
        <v>#VALUE!</v>
      </c>
      <c r="R177" s="44" t="e">
        <f>Table1[[#This Row],[RN]]</f>
        <v>#VALUE!</v>
      </c>
      <c r="S177" s="44" t="e">
        <f>Table1[[#This Row],[Blank]]</f>
        <v>#VALUE!</v>
      </c>
      <c r="T177" s="105" t="e">
        <f>SUM(Table14[[#This Row],[B]:[Blank]])</f>
        <v>#VALUE!</v>
      </c>
      <c r="U177" s="116">
        <v>2.0249999999999999</v>
      </c>
      <c r="V177" s="118" t="e">
        <f t="shared" si="5"/>
        <v>#VALUE!</v>
      </c>
      <c r="W177" s="118">
        <v>1196</v>
      </c>
      <c r="X177" s="118" t="e">
        <f>Table14[[#This Row],[Coil Size]]*Table14[[#This Row],[D10]]/1000*VLOOKUP(Table14[[#This Row],[Navision Code]],'TABULAR PRICE LIST'!A:L,11,FALSE)</f>
        <v>#VALUE!</v>
      </c>
      <c r="Y177" s="118">
        <f>IFERROR(Table14[[#This Row],[Coil Size]]*Table14[[#This Row],[D10]]/1000*VLOOKUP(Table14[[#This Row],[Navision Code]],'TABULAR PRICE LIST'!A:L,10,FALSE),0)</f>
        <v>0</v>
      </c>
      <c r="Z177" s="118">
        <f>VLOOKUP(C177,'TABULAR PRICE LIST'!$A:$L,12,FALSE)</f>
        <v>28211</v>
      </c>
      <c r="AA177" s="118" t="e">
        <f>Table14[[#This Row],[Coil Size]]*Table14[[#This Row],[D10]]/1000</f>
        <v>#VALUE!</v>
      </c>
      <c r="AB177" s="118" t="e">
        <f>Table14[[#This Row],[Weight/KYD]]*Table14[[#This Row],[D10]]</f>
        <v>#VALUE!</v>
      </c>
      <c r="AC177" s="177"/>
      <c r="AD177" s="118">
        <v>1</v>
      </c>
    </row>
    <row r="178" spans="1:30" ht="18.5" x14ac:dyDescent="0.45">
      <c r="A178" s="189" t="s">
        <v>34</v>
      </c>
      <c r="B178" s="18">
        <f t="shared" si="6"/>
        <v>166</v>
      </c>
      <c r="C178" s="21" t="s">
        <v>473</v>
      </c>
      <c r="D178" s="21" t="s">
        <v>211</v>
      </c>
      <c r="E178" s="21" t="s">
        <v>19</v>
      </c>
      <c r="F178" s="21">
        <v>1000</v>
      </c>
      <c r="G178" s="22" t="s">
        <v>279</v>
      </c>
      <c r="H178" s="22" t="s">
        <v>472</v>
      </c>
      <c r="I178" s="20"/>
      <c r="J178" s="44" t="e">
        <f>Table1[[#This Row],[B]]</f>
        <v>#VALUE!</v>
      </c>
      <c r="K178" s="44" t="e">
        <f>Table1[[#This Row],[BE]]</f>
        <v>#VALUE!</v>
      </c>
      <c r="L178" s="44" t="e">
        <f>Table1[[#This Row],[G]]</f>
        <v>#VALUE!</v>
      </c>
      <c r="M178" s="44" t="e">
        <f>Table1[[#This Row],[J]]</f>
        <v>#VALUE!</v>
      </c>
      <c r="N178" s="193" t="e">
        <f>Table1[[#This Row],[N]]</f>
        <v>#VALUE!</v>
      </c>
      <c r="O178" s="44" t="e">
        <f>Table1[[#This Row],[R]]</f>
        <v>#VALUE!</v>
      </c>
      <c r="P178" s="44" t="e">
        <f>Table1[[#This Row],[V]]</f>
        <v>#VALUE!</v>
      </c>
      <c r="Q178" s="44" t="e">
        <f>Table1[[#This Row],[VJ]]</f>
        <v>#VALUE!</v>
      </c>
      <c r="R178" s="44" t="e">
        <f>Table1[[#This Row],[RN]]</f>
        <v>#VALUE!</v>
      </c>
      <c r="S178" s="44" t="e">
        <f>Table1[[#This Row],[Blank]]</f>
        <v>#VALUE!</v>
      </c>
      <c r="T178" s="105" t="e">
        <f>SUM(Table14[[#This Row],[B]:[Blank]])</f>
        <v>#VALUE!</v>
      </c>
      <c r="U178" s="116">
        <v>2.2835749607266989</v>
      </c>
      <c r="V178" s="118" t="e">
        <f t="shared" si="5"/>
        <v>#VALUE!</v>
      </c>
      <c r="W178" s="118">
        <v>1636</v>
      </c>
      <c r="X178" s="118" t="e">
        <f>Table14[[#This Row],[Coil Size]]*Table14[[#This Row],[D10]]/1000*VLOOKUP(Table14[[#This Row],[Navision Code]],'TABULAR PRICE LIST'!A:L,11,FALSE)</f>
        <v>#VALUE!</v>
      </c>
      <c r="Y178" s="118">
        <f>IFERROR(Table14[[#This Row],[Coil Size]]*Table14[[#This Row],[D10]]/1000*VLOOKUP(Table14[[#This Row],[Navision Code]],'TABULAR PRICE LIST'!A:L,10,FALSE),0)</f>
        <v>0</v>
      </c>
      <c r="Z178" s="118">
        <f>VLOOKUP(C178,'TABULAR PRICE LIST'!$A:$L,12,FALSE)</f>
        <v>40671</v>
      </c>
      <c r="AA178" s="118" t="e">
        <f>Table14[[#This Row],[Coil Size]]*Table14[[#This Row],[D10]]/1000</f>
        <v>#VALUE!</v>
      </c>
      <c r="AB178" s="118" t="e">
        <f>Table14[[#This Row],[Weight/KYD]]*Table14[[#This Row],[D10]]</f>
        <v>#VALUE!</v>
      </c>
      <c r="AC178" s="177"/>
      <c r="AD178" s="118">
        <v>1</v>
      </c>
    </row>
    <row r="179" spans="1:30" ht="18.5" x14ac:dyDescent="0.45">
      <c r="A179" s="189" t="s">
        <v>34</v>
      </c>
      <c r="B179" s="18">
        <f t="shared" si="6"/>
        <v>167</v>
      </c>
      <c r="C179" s="21" t="s">
        <v>292</v>
      </c>
      <c r="D179" s="21" t="s">
        <v>211</v>
      </c>
      <c r="E179" s="21" t="s">
        <v>19</v>
      </c>
      <c r="F179" s="21">
        <v>1000</v>
      </c>
      <c r="G179" s="22" t="s">
        <v>279</v>
      </c>
      <c r="H179" s="22" t="s">
        <v>268</v>
      </c>
      <c r="I179" s="20"/>
      <c r="J179" s="44" t="e">
        <f>Table1[[#This Row],[B]]</f>
        <v>#VALUE!</v>
      </c>
      <c r="K179" s="44" t="e">
        <f>Table1[[#This Row],[BE]]</f>
        <v>#VALUE!</v>
      </c>
      <c r="L179" s="44" t="e">
        <f>Table1[[#This Row],[G]]</f>
        <v>#VALUE!</v>
      </c>
      <c r="M179" s="44" t="e">
        <f>Table1[[#This Row],[J]]</f>
        <v>#VALUE!</v>
      </c>
      <c r="N179" s="193" t="e">
        <f>Table1[[#This Row],[N]]</f>
        <v>#VALUE!</v>
      </c>
      <c r="O179" s="44" t="e">
        <f>Table1[[#This Row],[R]]</f>
        <v>#VALUE!</v>
      </c>
      <c r="P179" s="44" t="e">
        <f>Table1[[#This Row],[V]]</f>
        <v>#VALUE!</v>
      </c>
      <c r="Q179" s="44" t="e">
        <f>Table1[[#This Row],[VJ]]</f>
        <v>#VALUE!</v>
      </c>
      <c r="R179" s="44" t="e">
        <f>Table1[[#This Row],[RN]]</f>
        <v>#VALUE!</v>
      </c>
      <c r="S179" s="44" t="e">
        <f>Table1[[#This Row],[Blank]]</f>
        <v>#VALUE!</v>
      </c>
      <c r="T179" s="105" t="e">
        <f>SUM(Table14[[#This Row],[B]:[Blank]])</f>
        <v>#VALUE!</v>
      </c>
      <c r="U179" s="116">
        <v>3.0117608482664897</v>
      </c>
      <c r="V179" s="118" t="e">
        <f t="shared" si="5"/>
        <v>#VALUE!</v>
      </c>
      <c r="W179" s="111">
        <v>2363</v>
      </c>
      <c r="X179" s="111" t="e">
        <f>Table14[[#This Row],[Coil Size]]*Table14[[#This Row],[D10]]/1000*VLOOKUP(Table14[[#This Row],[Navision Code]],'TABULAR PRICE LIST'!A:L,11,FALSE)</f>
        <v>#VALUE!</v>
      </c>
      <c r="Y179" s="111">
        <f>IFERROR(Table14[[#This Row],[Coil Size]]*Table14[[#This Row],[D10]]/1000*VLOOKUP(Table14[[#This Row],[Navision Code]],'TABULAR PRICE LIST'!A:L,10,FALSE),0)</f>
        <v>0</v>
      </c>
      <c r="Z179" s="111" t="e">
        <f>VLOOKUP(C179,'TABULAR PRICE LIST'!$A:$L,12,FALSE)</f>
        <v>#N/A</v>
      </c>
      <c r="AA179" s="111" t="e">
        <f>Table14[[#This Row],[Coil Size]]*Table14[[#This Row],[D10]]/1000</f>
        <v>#VALUE!</v>
      </c>
      <c r="AB179" s="111" t="e">
        <f>Table14[[#This Row],[Weight/KYD]]*Table14[[#This Row],[D10]]</f>
        <v>#VALUE!</v>
      </c>
      <c r="AC179" s="177"/>
      <c r="AD179" s="111">
        <v>1</v>
      </c>
    </row>
    <row r="180" spans="1:30" ht="18.5" x14ac:dyDescent="0.45">
      <c r="A180" s="189" t="s">
        <v>34</v>
      </c>
      <c r="B180" s="18">
        <f t="shared" si="6"/>
        <v>168</v>
      </c>
      <c r="C180" s="21" t="s">
        <v>293</v>
      </c>
      <c r="D180" s="21" t="s">
        <v>211</v>
      </c>
      <c r="E180" s="21" t="s">
        <v>19</v>
      </c>
      <c r="F180" s="21">
        <v>1000</v>
      </c>
      <c r="G180" s="22" t="s">
        <v>279</v>
      </c>
      <c r="H180" s="22" t="s">
        <v>270</v>
      </c>
      <c r="I180" s="20"/>
      <c r="J180" s="44" t="e">
        <f>Table1[[#This Row],[B]]</f>
        <v>#VALUE!</v>
      </c>
      <c r="K180" s="44" t="e">
        <f>Table1[[#This Row],[BE]]</f>
        <v>#VALUE!</v>
      </c>
      <c r="L180" s="44" t="e">
        <f>Table1[[#This Row],[G]]</f>
        <v>#VALUE!</v>
      </c>
      <c r="M180" s="44" t="e">
        <f>Table1[[#This Row],[J]]</f>
        <v>#VALUE!</v>
      </c>
      <c r="N180" s="193" t="e">
        <f>Table1[[#This Row],[N]]</f>
        <v>#VALUE!</v>
      </c>
      <c r="O180" s="44" t="e">
        <f>Table1[[#This Row],[R]]</f>
        <v>#VALUE!</v>
      </c>
      <c r="P180" s="44" t="e">
        <f>Table1[[#This Row],[V]]</f>
        <v>#VALUE!</v>
      </c>
      <c r="Q180" s="44" t="e">
        <f>Table1[[#This Row],[VJ]]</f>
        <v>#VALUE!</v>
      </c>
      <c r="R180" s="44" t="e">
        <f>Table1[[#This Row],[RN]]</f>
        <v>#VALUE!</v>
      </c>
      <c r="S180" s="44" t="e">
        <f>Table1[[#This Row],[Blank]]</f>
        <v>#VALUE!</v>
      </c>
      <c r="T180" s="105" t="e">
        <f>SUM(Table14[[#This Row],[B]:[Blank]])</f>
        <v>#VALUE!</v>
      </c>
      <c r="U180" s="116">
        <v>4.1637021431151551</v>
      </c>
      <c r="V180" s="118" t="e">
        <f t="shared" si="5"/>
        <v>#VALUE!</v>
      </c>
      <c r="W180" s="111">
        <v>3264</v>
      </c>
      <c r="X180" s="111" t="e">
        <f>Table14[[#This Row],[Coil Size]]*Table14[[#This Row],[D10]]/1000*VLOOKUP(Table14[[#This Row],[Navision Code]],'TABULAR PRICE LIST'!A:L,11,FALSE)</f>
        <v>#VALUE!</v>
      </c>
      <c r="Y180" s="111">
        <f>IFERROR(Table14[[#This Row],[Coil Size]]*Table14[[#This Row],[D10]]/1000*VLOOKUP(Table14[[#This Row],[Navision Code]],'TABULAR PRICE LIST'!A:L,10,FALSE),0)</f>
        <v>0</v>
      </c>
      <c r="Z180" s="111">
        <f>VLOOKUP(C180,'TABULAR PRICE LIST'!$A:$L,12,FALSE)</f>
        <v>76138</v>
      </c>
      <c r="AA180" s="111" t="e">
        <f>Table14[[#This Row],[Coil Size]]*Table14[[#This Row],[D10]]/1000</f>
        <v>#VALUE!</v>
      </c>
      <c r="AB180" s="111" t="e">
        <f>Table14[[#This Row],[Weight/KYD]]*Table14[[#This Row],[D10]]</f>
        <v>#VALUE!</v>
      </c>
      <c r="AC180" s="177"/>
      <c r="AD180" s="111">
        <v>1</v>
      </c>
    </row>
    <row r="181" spans="1:30" ht="18.5" x14ac:dyDescent="0.45">
      <c r="A181" s="189" t="s">
        <v>34</v>
      </c>
      <c r="B181" s="18">
        <f t="shared" si="6"/>
        <v>169</v>
      </c>
      <c r="C181" s="21" t="s">
        <v>294</v>
      </c>
      <c r="D181" s="21" t="s">
        <v>211</v>
      </c>
      <c r="E181" s="21" t="s">
        <v>19</v>
      </c>
      <c r="F181" s="21">
        <v>1000</v>
      </c>
      <c r="G181" s="22" t="s">
        <v>279</v>
      </c>
      <c r="H181" s="22" t="s">
        <v>272</v>
      </c>
      <c r="I181" s="20"/>
      <c r="J181" s="44" t="e">
        <f>Table1[[#This Row],[B]]</f>
        <v>#VALUE!</v>
      </c>
      <c r="K181" s="44" t="e">
        <f>Table1[[#This Row],[BE]]</f>
        <v>#VALUE!</v>
      </c>
      <c r="L181" s="44" t="e">
        <f>Table1[[#This Row],[G]]</f>
        <v>#VALUE!</v>
      </c>
      <c r="M181" s="44" t="e">
        <f>Table1[[#This Row],[J]]</f>
        <v>#VALUE!</v>
      </c>
      <c r="N181" s="193" t="e">
        <f>Table1[[#This Row],[N]]</f>
        <v>#VALUE!</v>
      </c>
      <c r="O181" s="44" t="e">
        <f>Table1[[#This Row],[R]]</f>
        <v>#VALUE!</v>
      </c>
      <c r="P181" s="44" t="e">
        <f>Table1[[#This Row],[V]]</f>
        <v>#VALUE!</v>
      </c>
      <c r="Q181" s="44" t="e">
        <f>Table1[[#This Row],[VJ]]</f>
        <v>#VALUE!</v>
      </c>
      <c r="R181" s="44" t="e">
        <f>Table1[[#This Row],[RN]]</f>
        <v>#VALUE!</v>
      </c>
      <c r="S181" s="44" t="e">
        <f>Table1[[#This Row],[Blank]]</f>
        <v>#VALUE!</v>
      </c>
      <c r="T181" s="105" t="e">
        <f>SUM(Table14[[#This Row],[B]:[Blank]])</f>
        <v>#VALUE!</v>
      </c>
      <c r="U181" s="116">
        <v>5.3154463154538671</v>
      </c>
      <c r="V181" s="118" t="e">
        <f t="shared" si="5"/>
        <v>#VALUE!</v>
      </c>
      <c r="W181" s="111">
        <v>4141</v>
      </c>
      <c r="X181" s="111" t="e">
        <f>Table14[[#This Row],[Coil Size]]*Table14[[#This Row],[D10]]/1000*VLOOKUP(Table14[[#This Row],[Navision Code]],'TABULAR PRICE LIST'!A:L,11,FALSE)</f>
        <v>#VALUE!</v>
      </c>
      <c r="Y181" s="111">
        <f>IFERROR(Table14[[#This Row],[Coil Size]]*Table14[[#This Row],[D10]]/1000*VLOOKUP(Table14[[#This Row],[Navision Code]],'TABULAR PRICE LIST'!A:L,10,FALSE),0)</f>
        <v>0</v>
      </c>
      <c r="Z181" s="111">
        <f>VLOOKUP(C181,'TABULAR PRICE LIST'!$A:$L,12,FALSE)</f>
        <v>95166</v>
      </c>
      <c r="AA181" s="111" t="e">
        <f>Table14[[#This Row],[Coil Size]]*Table14[[#This Row],[D10]]/1000</f>
        <v>#VALUE!</v>
      </c>
      <c r="AB181" s="111" t="e">
        <f>Table14[[#This Row],[Weight/KYD]]*Table14[[#This Row],[D10]]</f>
        <v>#VALUE!</v>
      </c>
      <c r="AC181" s="177"/>
      <c r="AD181" s="111">
        <v>1</v>
      </c>
    </row>
    <row r="182" spans="1:30" ht="18.5" x14ac:dyDescent="0.45">
      <c r="A182" s="189" t="s">
        <v>34</v>
      </c>
      <c r="B182" s="18">
        <f t="shared" si="6"/>
        <v>170</v>
      </c>
      <c r="C182" s="21" t="s">
        <v>291</v>
      </c>
      <c r="D182" s="21" t="s">
        <v>211</v>
      </c>
      <c r="E182" s="21" t="s">
        <v>19</v>
      </c>
      <c r="F182" s="21">
        <v>1000</v>
      </c>
      <c r="G182" s="22" t="s">
        <v>279</v>
      </c>
      <c r="H182" s="22" t="s">
        <v>273</v>
      </c>
      <c r="I182" s="20"/>
      <c r="J182" s="44" t="e">
        <f>Table1[[#This Row],[B]]</f>
        <v>#VALUE!</v>
      </c>
      <c r="K182" s="44" t="e">
        <f>Table1[[#This Row],[BE]]</f>
        <v>#VALUE!</v>
      </c>
      <c r="L182" s="44" t="e">
        <f>Table1[[#This Row],[G]]</f>
        <v>#VALUE!</v>
      </c>
      <c r="M182" s="44" t="e">
        <f>Table1[[#This Row],[J]]</f>
        <v>#VALUE!</v>
      </c>
      <c r="N182" s="193" t="e">
        <f>Table1[[#This Row],[N]]</f>
        <v>#VALUE!</v>
      </c>
      <c r="O182" s="44" t="e">
        <f>Table1[[#This Row],[R]]</f>
        <v>#VALUE!</v>
      </c>
      <c r="P182" s="44" t="e">
        <f>Table1[[#This Row],[V]]</f>
        <v>#VALUE!</v>
      </c>
      <c r="Q182" s="44" t="e">
        <f>Table1[[#This Row],[VJ]]</f>
        <v>#VALUE!</v>
      </c>
      <c r="R182" s="44" t="e">
        <f>Table1[[#This Row],[RN]]</f>
        <v>#VALUE!</v>
      </c>
      <c r="S182" s="44" t="e">
        <f>Table1[[#This Row],[Blank]]</f>
        <v>#VALUE!</v>
      </c>
      <c r="T182" s="105" t="e">
        <f>SUM(Table14[[#This Row],[B]:[Blank]])</f>
        <v>#VALUE!</v>
      </c>
      <c r="U182" s="116">
        <v>6.5237259014743492</v>
      </c>
      <c r="V182" s="118" t="e">
        <f t="shared" si="5"/>
        <v>#VALUE!</v>
      </c>
      <c r="W182" s="111">
        <v>5090</v>
      </c>
      <c r="X182" s="111" t="e">
        <f>Table14[[#This Row],[Coil Size]]*Table14[[#This Row],[D10]]/1000*VLOOKUP(Table14[[#This Row],[Navision Code]],'TABULAR PRICE LIST'!A:L,11,FALSE)</f>
        <v>#VALUE!</v>
      </c>
      <c r="Y182" s="111">
        <f>IFERROR(Table14[[#This Row],[Coil Size]]*Table14[[#This Row],[D10]]/1000*VLOOKUP(Table14[[#This Row],[Navision Code]],'TABULAR PRICE LIST'!A:L,10,FALSE),0)</f>
        <v>0</v>
      </c>
      <c r="Z182" s="111">
        <f>VLOOKUP(C182,'TABULAR PRICE LIST'!$A:$L,12,FALSE)</f>
        <v>116980</v>
      </c>
      <c r="AA182" s="111" t="e">
        <f>Table14[[#This Row],[Coil Size]]*Table14[[#This Row],[D10]]/1000</f>
        <v>#VALUE!</v>
      </c>
      <c r="AB182" s="111" t="e">
        <f>Table14[[#This Row],[Weight/KYD]]*Table14[[#This Row],[D10]]</f>
        <v>#VALUE!</v>
      </c>
      <c r="AC182" s="177"/>
      <c r="AD182" s="111">
        <v>1</v>
      </c>
    </row>
    <row r="183" spans="1:30" ht="18.5" x14ac:dyDescent="0.45">
      <c r="A183" s="189" t="s">
        <v>34</v>
      </c>
      <c r="B183" s="18">
        <f t="shared" si="6"/>
        <v>171</v>
      </c>
      <c r="C183" s="21" t="s">
        <v>295</v>
      </c>
      <c r="D183" s="21" t="s">
        <v>211</v>
      </c>
      <c r="E183" s="21" t="s">
        <v>19</v>
      </c>
      <c r="F183" s="21">
        <v>1000</v>
      </c>
      <c r="G183" s="22" t="s">
        <v>279</v>
      </c>
      <c r="H183" s="22" t="s">
        <v>275</v>
      </c>
      <c r="I183" s="20"/>
      <c r="J183" s="44" t="e">
        <f>Table1[[#This Row],[B]]</f>
        <v>#VALUE!</v>
      </c>
      <c r="K183" s="44" t="e">
        <f>Table1[[#This Row],[BE]]</f>
        <v>#VALUE!</v>
      </c>
      <c r="L183" s="44" t="e">
        <f>Table1[[#This Row],[G]]</f>
        <v>#VALUE!</v>
      </c>
      <c r="M183" s="44" t="e">
        <f>Table1[[#This Row],[J]]</f>
        <v>#VALUE!</v>
      </c>
      <c r="N183" s="193" t="e">
        <f>Table1[[#This Row],[N]]</f>
        <v>#VALUE!</v>
      </c>
      <c r="O183" s="44" t="e">
        <f>Table1[[#This Row],[R]]</f>
        <v>#VALUE!</v>
      </c>
      <c r="P183" s="44" t="e">
        <f>Table1[[#This Row],[V]]</f>
        <v>#VALUE!</v>
      </c>
      <c r="Q183" s="44" t="e">
        <f>Table1[[#This Row],[VJ]]</f>
        <v>#VALUE!</v>
      </c>
      <c r="R183" s="44" t="e">
        <f>Table1[[#This Row],[RN]]</f>
        <v>#VALUE!</v>
      </c>
      <c r="S183" s="44" t="e">
        <f>Table1[[#This Row],[Blank]]</f>
        <v>#VALUE!</v>
      </c>
      <c r="T183" s="105" t="e">
        <f>SUM(Table14[[#This Row],[B]:[Blank]])</f>
        <v>#VALUE!</v>
      </c>
      <c r="U183" s="116">
        <v>8.5423728813559325</v>
      </c>
      <c r="V183" s="118" t="e">
        <f t="shared" si="5"/>
        <v>#VALUE!</v>
      </c>
      <c r="W183" s="111">
        <v>6383</v>
      </c>
      <c r="X183" s="111" t="e">
        <f>Table14[[#This Row],[Coil Size]]*Table14[[#This Row],[D10]]/1000*VLOOKUP(Table14[[#This Row],[Navision Code]],'TABULAR PRICE LIST'!A:L,11,FALSE)</f>
        <v>#VALUE!</v>
      </c>
      <c r="Y183" s="111">
        <f>IFERROR(Table14[[#This Row],[Coil Size]]*Table14[[#This Row],[D10]]/1000*VLOOKUP(Table14[[#This Row],[Navision Code]],'TABULAR PRICE LIST'!A:L,10,FALSE),0)</f>
        <v>0</v>
      </c>
      <c r="Z183" s="111" t="e">
        <f>VLOOKUP(C183,'TABULAR PRICE LIST'!$A:$L,12,FALSE)</f>
        <v>#N/A</v>
      </c>
      <c r="AA183" s="111" t="e">
        <f>Table14[[#This Row],[Coil Size]]*Table14[[#This Row],[D10]]/1000</f>
        <v>#VALUE!</v>
      </c>
      <c r="AB183" s="111" t="e">
        <f>Table14[[#This Row],[Weight/KYD]]*Table14[[#This Row],[D10]]</f>
        <v>#VALUE!</v>
      </c>
      <c r="AC183" s="177"/>
      <c r="AD183" s="111">
        <v>1</v>
      </c>
    </row>
    <row r="184" spans="1:30" thickBot="1" x14ac:dyDescent="0.5">
      <c r="A184" s="189" t="s">
        <v>34</v>
      </c>
      <c r="B184" s="23">
        <f t="shared" si="6"/>
        <v>172</v>
      </c>
      <c r="C184" s="30" t="s">
        <v>296</v>
      </c>
      <c r="D184" s="30" t="s">
        <v>211</v>
      </c>
      <c r="E184" s="30" t="s">
        <v>19</v>
      </c>
      <c r="F184" s="30">
        <v>1000</v>
      </c>
      <c r="G184" s="31" t="s">
        <v>279</v>
      </c>
      <c r="H184" s="31" t="s">
        <v>277</v>
      </c>
      <c r="I184" s="25"/>
      <c r="J184" s="46" t="e">
        <f>Table1[[#This Row],[B]]</f>
        <v>#VALUE!</v>
      </c>
      <c r="K184" s="46" t="e">
        <f>Table1[[#This Row],[BE]]</f>
        <v>#VALUE!</v>
      </c>
      <c r="L184" s="46" t="e">
        <f>Table1[[#This Row],[G]]</f>
        <v>#VALUE!</v>
      </c>
      <c r="M184" s="46" t="e">
        <f>Table1[[#This Row],[J]]</f>
        <v>#VALUE!</v>
      </c>
      <c r="N184" s="195" t="e">
        <f>Table1[[#This Row],[N]]</f>
        <v>#VALUE!</v>
      </c>
      <c r="O184" s="46" t="e">
        <f>Table1[[#This Row],[R]]</f>
        <v>#VALUE!</v>
      </c>
      <c r="P184" s="46" t="e">
        <f>Table1[[#This Row],[V]]</f>
        <v>#VALUE!</v>
      </c>
      <c r="Q184" s="46" t="e">
        <f>Table1[[#This Row],[VJ]]</f>
        <v>#VALUE!</v>
      </c>
      <c r="R184" s="46" t="e">
        <f>Table1[[#This Row],[RN]]</f>
        <v>#VALUE!</v>
      </c>
      <c r="S184" s="46" t="e">
        <f>Table1[[#This Row],[Blank]]</f>
        <v>#VALUE!</v>
      </c>
      <c r="T184" s="106" t="e">
        <f>SUM(Table14[[#This Row],[B]:[Blank]])</f>
        <v>#VALUE!</v>
      </c>
      <c r="U184" s="119">
        <v>10.242138364779874</v>
      </c>
      <c r="V184" s="120" t="e">
        <f t="shared" si="5"/>
        <v>#VALUE!</v>
      </c>
      <c r="W184" s="111">
        <v>8464</v>
      </c>
      <c r="X184" s="111" t="e">
        <f>Table14[[#This Row],[Coil Size]]*Table14[[#This Row],[D10]]/1000*VLOOKUP(Table14[[#This Row],[Navision Code]],'TABULAR PRICE LIST'!A:L,11,FALSE)</f>
        <v>#VALUE!</v>
      </c>
      <c r="Y184" s="111">
        <f>IFERROR(Table14[[#This Row],[Coil Size]]*Table14[[#This Row],[D10]]/1000*VLOOKUP(Table14[[#This Row],[Navision Code]],'TABULAR PRICE LIST'!A:L,10,FALSE),0)</f>
        <v>0</v>
      </c>
      <c r="Z184" s="111">
        <f>VLOOKUP(C184,'TABULAR PRICE LIST'!$A:$L,12,FALSE)</f>
        <v>193288</v>
      </c>
      <c r="AA184" s="111" t="e">
        <f>Table14[[#This Row],[Coil Size]]*Table14[[#This Row],[D10]]/1000</f>
        <v>#VALUE!</v>
      </c>
      <c r="AB184" s="111" t="e">
        <f>Table14[[#This Row],[Weight/KYD]]*Table14[[#This Row],[D10]]</f>
        <v>#VALUE!</v>
      </c>
      <c r="AC184" s="177"/>
      <c r="AD184" s="111">
        <v>1</v>
      </c>
    </row>
    <row r="185" spans="1:30" ht="18.5" x14ac:dyDescent="0.45">
      <c r="A185" s="189" t="s">
        <v>34</v>
      </c>
      <c r="B185" s="15">
        <f t="shared" si="6"/>
        <v>173</v>
      </c>
      <c r="C185" s="38" t="s">
        <v>297</v>
      </c>
      <c r="D185" s="38" t="s">
        <v>211</v>
      </c>
      <c r="E185" s="38" t="s">
        <v>19</v>
      </c>
      <c r="F185" s="38">
        <v>500</v>
      </c>
      <c r="G185" s="39" t="s">
        <v>298</v>
      </c>
      <c r="H185" s="39" t="s">
        <v>299</v>
      </c>
      <c r="I185" s="17"/>
      <c r="J185" s="42" t="e">
        <f>Table1[[#This Row],[B]]</f>
        <v>#VALUE!</v>
      </c>
      <c r="K185" s="42" t="e">
        <f>Table1[[#This Row],[BE]]</f>
        <v>#VALUE!</v>
      </c>
      <c r="L185" s="42" t="e">
        <f>Table1[[#This Row],[G]]</f>
        <v>#VALUE!</v>
      </c>
      <c r="M185" s="42" t="e">
        <f>Table1[[#This Row],[J]]</f>
        <v>#VALUE!</v>
      </c>
      <c r="N185" s="190" t="e">
        <f>Table1[[#This Row],[N]]</f>
        <v>#VALUE!</v>
      </c>
      <c r="O185" s="190" t="e">
        <f>Table1[[#This Row],[R]]</f>
        <v>#VALUE!</v>
      </c>
      <c r="P185" s="42" t="e">
        <f>Table1[[#This Row],[V]]</f>
        <v>#VALUE!</v>
      </c>
      <c r="Q185" s="42" t="e">
        <f>Table1[[#This Row],[VJ]]</f>
        <v>#VALUE!</v>
      </c>
      <c r="R185" s="42" t="e">
        <f>Table1[[#This Row],[RN]]</f>
        <v>#VALUE!</v>
      </c>
      <c r="S185" s="42" t="e">
        <f>Table1[[#This Row],[Blank]]</f>
        <v>#VALUE!</v>
      </c>
      <c r="T185" s="109" t="e">
        <f>SUM(Table14[[#This Row],[B]:[Blank]])</f>
        <v>#VALUE!</v>
      </c>
      <c r="U185" s="114">
        <v>0.21</v>
      </c>
      <c r="V185" s="115" t="e">
        <f t="shared" si="5"/>
        <v>#VALUE!</v>
      </c>
      <c r="W185" s="191">
        <v>26.16</v>
      </c>
      <c r="X185" s="113" t="e">
        <f>Table14[[#This Row],[Coil Size]]*Table14[[#This Row],[D10]]/1000*VLOOKUP(Table14[[#This Row],[Navision Code]],'TABULAR PRICE LIST'!A:L,11,FALSE)</f>
        <v>#VALUE!</v>
      </c>
      <c r="Y185" s="113">
        <f>IFERROR(Table14[[#This Row],[Coil Size]]*Table14[[#This Row],[D10]]/1000*VLOOKUP(Table14[[#This Row],[Navision Code]],'TABULAR PRICE LIST'!A:L,10,FALSE),0)</f>
        <v>0</v>
      </c>
      <c r="Z185" s="113" t="e">
        <f>VLOOKUP(C185,'TABULAR PRICE LIST'!$A:$L,12,FALSE)</f>
        <v>#N/A</v>
      </c>
      <c r="AA185" s="113" t="e">
        <f>Table14[[#This Row],[Coil Size]]*Table14[[#This Row],[D10]]/1000</f>
        <v>#VALUE!</v>
      </c>
      <c r="AB185" s="191" t="e">
        <f>Table14[[#This Row],[Weight/KYD]]*Table14[[#This Row],[D10]]</f>
        <v>#VALUE!</v>
      </c>
      <c r="AC185" s="177"/>
      <c r="AD185" s="191">
        <v>1</v>
      </c>
    </row>
    <row r="186" spans="1:30" ht="18.5" x14ac:dyDescent="0.45">
      <c r="A186" s="189" t="s">
        <v>34</v>
      </c>
      <c r="B186" s="18">
        <f t="shared" si="6"/>
        <v>174</v>
      </c>
      <c r="C186" s="21" t="s">
        <v>300</v>
      </c>
      <c r="D186" s="21" t="s">
        <v>211</v>
      </c>
      <c r="E186" s="21" t="s">
        <v>19</v>
      </c>
      <c r="F186" s="21">
        <v>500</v>
      </c>
      <c r="G186" s="22" t="s">
        <v>298</v>
      </c>
      <c r="H186" s="22" t="s">
        <v>301</v>
      </c>
      <c r="I186" s="20"/>
      <c r="J186" s="44" t="e">
        <f>Table1[[#This Row],[B]]</f>
        <v>#VALUE!</v>
      </c>
      <c r="K186" s="44" t="e">
        <f>Table1[[#This Row],[BE]]</f>
        <v>#VALUE!</v>
      </c>
      <c r="L186" s="44" t="e">
        <f>Table1[[#This Row],[G]]</f>
        <v>#VALUE!</v>
      </c>
      <c r="M186" s="44" t="e">
        <f>Table1[[#This Row],[J]]</f>
        <v>#VALUE!</v>
      </c>
      <c r="N186" s="193" t="e">
        <f>Table1[[#This Row],[N]]</f>
        <v>#VALUE!</v>
      </c>
      <c r="O186" s="193" t="e">
        <f>Table1[[#This Row],[R]]</f>
        <v>#VALUE!</v>
      </c>
      <c r="P186" s="44" t="e">
        <f>Table1[[#This Row],[V]]</f>
        <v>#VALUE!</v>
      </c>
      <c r="Q186" s="44" t="e">
        <f>Table1[[#This Row],[VJ]]</f>
        <v>#VALUE!</v>
      </c>
      <c r="R186" s="44" t="e">
        <f>Table1[[#This Row],[RN]]</f>
        <v>#VALUE!</v>
      </c>
      <c r="S186" s="44" t="e">
        <f>Table1[[#This Row],[Blank]]</f>
        <v>#VALUE!</v>
      </c>
      <c r="T186" s="105" t="e">
        <f>SUM(Table14[[#This Row],[B]:[Blank]])</f>
        <v>#VALUE!</v>
      </c>
      <c r="U186" s="116">
        <v>0.20200000000000001</v>
      </c>
      <c r="V186" s="118" t="e">
        <f t="shared" si="5"/>
        <v>#VALUE!</v>
      </c>
      <c r="W186" s="111">
        <v>43.53</v>
      </c>
      <c r="X186" s="111" t="e">
        <f>Table14[[#This Row],[Coil Size]]*Table14[[#This Row],[D10]]/1000*VLOOKUP(Table14[[#This Row],[Navision Code]],'TABULAR PRICE LIST'!A:L,11,FALSE)</f>
        <v>#VALUE!</v>
      </c>
      <c r="Y186" s="111">
        <f>IFERROR(Table14[[#This Row],[Coil Size]]*Table14[[#This Row],[D10]]/1000*VLOOKUP(Table14[[#This Row],[Navision Code]],'TABULAR PRICE LIST'!A:L,10,FALSE),0)</f>
        <v>0</v>
      </c>
      <c r="Z186" s="111" t="e">
        <f>VLOOKUP(C186,'TABULAR PRICE LIST'!$A:$L,12,FALSE)</f>
        <v>#N/A</v>
      </c>
      <c r="AA186" s="111" t="e">
        <f>Table14[[#This Row],[Coil Size]]*Table14[[#This Row],[D10]]/1000</f>
        <v>#VALUE!</v>
      </c>
      <c r="AB186" s="203" t="e">
        <f>Table14[[#This Row],[Weight/KYD]]*Table14[[#This Row],[D10]]</f>
        <v>#VALUE!</v>
      </c>
      <c r="AC186" s="177"/>
      <c r="AD186" s="111">
        <v>1</v>
      </c>
    </row>
    <row r="187" spans="1:30" ht="18.5" x14ac:dyDescent="0.45">
      <c r="A187" s="189" t="s">
        <v>34</v>
      </c>
      <c r="B187" s="18">
        <f t="shared" si="6"/>
        <v>175</v>
      </c>
      <c r="C187" s="21" t="s">
        <v>302</v>
      </c>
      <c r="D187" s="21" t="s">
        <v>211</v>
      </c>
      <c r="E187" s="21" t="s">
        <v>19</v>
      </c>
      <c r="F187" s="21">
        <v>1000</v>
      </c>
      <c r="G187" s="22" t="s">
        <v>298</v>
      </c>
      <c r="H187" s="22" t="s">
        <v>303</v>
      </c>
      <c r="I187" s="20"/>
      <c r="J187" s="44" t="e">
        <f>Table1[[#This Row],[B]]</f>
        <v>#VALUE!</v>
      </c>
      <c r="K187" s="44" t="e">
        <f>Table1[[#This Row],[BE]]</f>
        <v>#VALUE!</v>
      </c>
      <c r="L187" s="44" t="e">
        <f>Table1[[#This Row],[G]]</f>
        <v>#VALUE!</v>
      </c>
      <c r="M187" s="44" t="e">
        <f>Table1[[#This Row],[J]]</f>
        <v>#VALUE!</v>
      </c>
      <c r="N187" s="193" t="e">
        <f>Table1[[#This Row],[N]]</f>
        <v>#VALUE!</v>
      </c>
      <c r="O187" s="193" t="e">
        <f>Table1[[#This Row],[R]]</f>
        <v>#VALUE!</v>
      </c>
      <c r="P187" s="44" t="e">
        <f>Table1[[#This Row],[V]]</f>
        <v>#VALUE!</v>
      </c>
      <c r="Q187" s="44" t="e">
        <f>Table1[[#This Row],[VJ]]</f>
        <v>#VALUE!</v>
      </c>
      <c r="R187" s="44" t="e">
        <f>Table1[[#This Row],[RN]]</f>
        <v>#VALUE!</v>
      </c>
      <c r="S187" s="44" t="e">
        <f>Table1[[#This Row],[Blank]]</f>
        <v>#VALUE!</v>
      </c>
      <c r="T187" s="105" t="e">
        <f>SUM(Table14[[#This Row],[B]:[Blank]])</f>
        <v>#VALUE!</v>
      </c>
      <c r="U187" s="116">
        <v>0.19425173439048563</v>
      </c>
      <c r="V187" s="118" t="e">
        <f t="shared" si="5"/>
        <v>#VALUE!</v>
      </c>
      <c r="W187" s="117"/>
      <c r="X187" s="117" t="e">
        <f>Table14[[#This Row],[Coil Size]]*Table14[[#This Row],[D10]]/1000*VLOOKUP(Table14[[#This Row],[Navision Code]],'TABULAR PRICE LIST'!A:L,11,FALSE)</f>
        <v>#VALUE!</v>
      </c>
      <c r="Y187" s="117">
        <f>IFERROR(Table14[[#This Row],[Coil Size]]*Table14[[#This Row],[D10]]/1000*VLOOKUP(Table14[[#This Row],[Navision Code]],'TABULAR PRICE LIST'!A:L,10,FALSE),0)</f>
        <v>0</v>
      </c>
      <c r="Z187" s="117" t="e">
        <f>VLOOKUP(C187,'TABULAR PRICE LIST'!$A:$L,12,FALSE)</f>
        <v>#N/A</v>
      </c>
      <c r="AA187" s="117" t="e">
        <f>Table14[[#This Row],[Coil Size]]*Table14[[#This Row],[D10]]/1000</f>
        <v>#VALUE!</v>
      </c>
      <c r="AB187" s="121" t="e">
        <f>Table14[[#This Row],[Weight/KYD]]*Table14[[#This Row],[D10]]</f>
        <v>#VALUE!</v>
      </c>
      <c r="AC187" s="177"/>
      <c r="AD187" s="121">
        <v>1</v>
      </c>
    </row>
    <row r="188" spans="1:30" ht="18.5" x14ac:dyDescent="0.45">
      <c r="A188" s="189" t="s">
        <v>34</v>
      </c>
      <c r="B188" s="18">
        <f t="shared" si="6"/>
        <v>176</v>
      </c>
      <c r="C188" s="21" t="s">
        <v>304</v>
      </c>
      <c r="D188" s="21" t="s">
        <v>211</v>
      </c>
      <c r="E188" s="21" t="s">
        <v>19</v>
      </c>
      <c r="F188" s="21">
        <v>1000</v>
      </c>
      <c r="G188" s="22" t="s">
        <v>298</v>
      </c>
      <c r="H188" s="22" t="s">
        <v>305</v>
      </c>
      <c r="I188" s="20"/>
      <c r="J188" s="44" t="e">
        <f>Table1[[#This Row],[B]]</f>
        <v>#VALUE!</v>
      </c>
      <c r="K188" s="44" t="e">
        <f>Table1[[#This Row],[BE]]</f>
        <v>#VALUE!</v>
      </c>
      <c r="L188" s="44" t="e">
        <f>Table1[[#This Row],[G]]</f>
        <v>#VALUE!</v>
      </c>
      <c r="M188" s="44" t="e">
        <f>Table1[[#This Row],[J]]</f>
        <v>#VALUE!</v>
      </c>
      <c r="N188" s="193" t="e">
        <f>Table1[[#This Row],[N]]</f>
        <v>#VALUE!</v>
      </c>
      <c r="O188" s="193" t="e">
        <f>Table1[[#This Row],[R]]</f>
        <v>#VALUE!</v>
      </c>
      <c r="P188" s="44" t="e">
        <f>Table1[[#This Row],[V]]</f>
        <v>#VALUE!</v>
      </c>
      <c r="Q188" s="44" t="e">
        <f>Table1[[#This Row],[VJ]]</f>
        <v>#VALUE!</v>
      </c>
      <c r="R188" s="44" t="e">
        <f>Table1[[#This Row],[RN]]</f>
        <v>#VALUE!</v>
      </c>
      <c r="S188" s="44" t="e">
        <f>Table1[[#This Row],[Blank]]</f>
        <v>#VALUE!</v>
      </c>
      <c r="T188" s="105" t="e">
        <f>SUM(Table14[[#This Row],[B]:[Blank]])</f>
        <v>#VALUE!</v>
      </c>
      <c r="U188" s="116">
        <v>0.23865877712031558</v>
      </c>
      <c r="V188" s="118" t="e">
        <f t="shared" si="5"/>
        <v>#VALUE!</v>
      </c>
      <c r="W188" s="117"/>
      <c r="X188" s="117" t="e">
        <f>Table14[[#This Row],[Coil Size]]*Table14[[#This Row],[D10]]/1000*VLOOKUP(Table14[[#This Row],[Navision Code]],'TABULAR PRICE LIST'!A:L,11,FALSE)</f>
        <v>#VALUE!</v>
      </c>
      <c r="Y188" s="117">
        <f>IFERROR(Table14[[#This Row],[Coil Size]]*Table14[[#This Row],[D10]]/1000*VLOOKUP(Table14[[#This Row],[Navision Code]],'TABULAR PRICE LIST'!A:L,10,FALSE),0)</f>
        <v>0</v>
      </c>
      <c r="Z188" s="117" t="e">
        <f>VLOOKUP(C188,'TABULAR PRICE LIST'!$A:$L,12,FALSE)</f>
        <v>#N/A</v>
      </c>
      <c r="AA188" s="117" t="e">
        <f>Table14[[#This Row],[Coil Size]]*Table14[[#This Row],[D10]]/1000</f>
        <v>#VALUE!</v>
      </c>
      <c r="AB188" s="121" t="e">
        <f>Table14[[#This Row],[Weight/KYD]]*Table14[[#This Row],[D10]]</f>
        <v>#VALUE!</v>
      </c>
      <c r="AC188" s="177"/>
      <c r="AD188" s="121">
        <v>1</v>
      </c>
    </row>
    <row r="189" spans="1:30" ht="18.5" x14ac:dyDescent="0.45">
      <c r="A189" s="189" t="s">
        <v>34</v>
      </c>
      <c r="B189" s="18">
        <f t="shared" si="6"/>
        <v>177</v>
      </c>
      <c r="C189" s="21" t="s">
        <v>306</v>
      </c>
      <c r="D189" s="21" t="s">
        <v>211</v>
      </c>
      <c r="E189" s="21" t="s">
        <v>19</v>
      </c>
      <c r="F189" s="21">
        <v>450</v>
      </c>
      <c r="G189" s="22" t="s">
        <v>298</v>
      </c>
      <c r="H189" s="22" t="s">
        <v>307</v>
      </c>
      <c r="I189" s="20"/>
      <c r="J189" s="44" t="e">
        <f>Table1[[#This Row],[B]]</f>
        <v>#VALUE!</v>
      </c>
      <c r="K189" s="44" t="e">
        <f>Table1[[#This Row],[BE]]</f>
        <v>#VALUE!</v>
      </c>
      <c r="L189" s="44" t="e">
        <f>Table1[[#This Row],[G]]</f>
        <v>#VALUE!</v>
      </c>
      <c r="M189" s="44" t="e">
        <f>Table1[[#This Row],[J]]</f>
        <v>#VALUE!</v>
      </c>
      <c r="N189" s="193" t="e">
        <f>Table1[[#This Row],[N]]</f>
        <v>#VALUE!</v>
      </c>
      <c r="O189" s="193" t="e">
        <f>Table1[[#This Row],[R]]</f>
        <v>#VALUE!</v>
      </c>
      <c r="P189" s="44" t="e">
        <f>Table1[[#This Row],[V]]</f>
        <v>#VALUE!</v>
      </c>
      <c r="Q189" s="44" t="e">
        <f>Table1[[#This Row],[VJ]]</f>
        <v>#VALUE!</v>
      </c>
      <c r="R189" s="44" t="e">
        <f>Table1[[#This Row],[RN]]</f>
        <v>#VALUE!</v>
      </c>
      <c r="S189" s="44" t="e">
        <f>Table1[[#This Row],[Blank]]</f>
        <v>#VALUE!</v>
      </c>
      <c r="T189" s="105" t="e">
        <f>SUM(Table14[[#This Row],[B]:[Blank]])</f>
        <v>#VALUE!</v>
      </c>
      <c r="U189" s="116">
        <v>0.25</v>
      </c>
      <c r="V189" s="118" t="e">
        <f t="shared" si="5"/>
        <v>#VALUE!</v>
      </c>
      <c r="W189" s="117"/>
      <c r="X189" s="117" t="e">
        <f>Table14[[#This Row],[Coil Size]]*Table14[[#This Row],[D10]]/1000*VLOOKUP(Table14[[#This Row],[Navision Code]],'TABULAR PRICE LIST'!A:L,11,FALSE)</f>
        <v>#VALUE!</v>
      </c>
      <c r="Y189" s="117">
        <f>IFERROR(Table14[[#This Row],[Coil Size]]*Table14[[#This Row],[D10]]/1000*VLOOKUP(Table14[[#This Row],[Navision Code]],'TABULAR PRICE LIST'!A:L,10,FALSE),0)</f>
        <v>0</v>
      </c>
      <c r="Z189" s="117" t="e">
        <f>VLOOKUP(C189,'TABULAR PRICE LIST'!$A:$L,12,FALSE)</f>
        <v>#N/A</v>
      </c>
      <c r="AA189" s="117" t="e">
        <f>Table14[[#This Row],[Coil Size]]*Table14[[#This Row],[D10]]/1000</f>
        <v>#VALUE!</v>
      </c>
      <c r="AB189" s="121" t="e">
        <f>Table14[[#This Row],[Weight/KYD]]*Table14[[#This Row],[D10]]</f>
        <v>#VALUE!</v>
      </c>
      <c r="AC189" s="177"/>
      <c r="AD189" s="121">
        <v>1</v>
      </c>
    </row>
    <row r="190" spans="1:30" ht="18.5" x14ac:dyDescent="0.45">
      <c r="A190" s="189" t="s">
        <v>34</v>
      </c>
      <c r="B190" s="18">
        <f t="shared" si="6"/>
        <v>178</v>
      </c>
      <c r="C190" s="21" t="s">
        <v>308</v>
      </c>
      <c r="D190" s="21" t="s">
        <v>211</v>
      </c>
      <c r="E190" s="21" t="s">
        <v>19</v>
      </c>
      <c r="F190" s="21">
        <v>450</v>
      </c>
      <c r="G190" s="22" t="s">
        <v>298</v>
      </c>
      <c r="H190" s="22" t="s">
        <v>309</v>
      </c>
      <c r="I190" s="20"/>
      <c r="J190" s="44" t="e">
        <f>Table1[[#This Row],[B]]</f>
        <v>#VALUE!</v>
      </c>
      <c r="K190" s="44" t="e">
        <f>Table1[[#This Row],[BE]]</f>
        <v>#VALUE!</v>
      </c>
      <c r="L190" s="44" t="e">
        <f>Table1[[#This Row],[G]]</f>
        <v>#VALUE!</v>
      </c>
      <c r="M190" s="44" t="e">
        <f>Table1[[#This Row],[J]]</f>
        <v>#VALUE!</v>
      </c>
      <c r="N190" s="193" t="e">
        <f>Table1[[#This Row],[N]]</f>
        <v>#VALUE!</v>
      </c>
      <c r="O190" s="193" t="e">
        <f>Table1[[#This Row],[R]]</f>
        <v>#VALUE!</v>
      </c>
      <c r="P190" s="44" t="e">
        <f>Table1[[#This Row],[V]]</f>
        <v>#VALUE!</v>
      </c>
      <c r="Q190" s="44" t="e">
        <f>Table1[[#This Row],[VJ]]</f>
        <v>#VALUE!</v>
      </c>
      <c r="R190" s="44" t="e">
        <f>Table1[[#This Row],[RN]]</f>
        <v>#VALUE!</v>
      </c>
      <c r="S190" s="44" t="e">
        <f>Table1[[#This Row],[Blank]]</f>
        <v>#VALUE!</v>
      </c>
      <c r="T190" s="105" t="e">
        <f>SUM(Table14[[#This Row],[B]:[Blank]])</f>
        <v>#VALUE!</v>
      </c>
      <c r="U190" s="116">
        <v>0.29299999999999998</v>
      </c>
      <c r="V190" s="118" t="e">
        <f t="shared" si="5"/>
        <v>#VALUE!</v>
      </c>
      <c r="W190" s="111">
        <v>87.06</v>
      </c>
      <c r="X190" s="111" t="e">
        <f>Table14[[#This Row],[Coil Size]]*Table14[[#This Row],[D10]]/1000*VLOOKUP(Table14[[#This Row],[Navision Code]],'TABULAR PRICE LIST'!A:L,11,FALSE)</f>
        <v>#VALUE!</v>
      </c>
      <c r="Y190" s="111">
        <f>IFERROR(Table14[[#This Row],[Coil Size]]*Table14[[#This Row],[D10]]/1000*VLOOKUP(Table14[[#This Row],[Navision Code]],'TABULAR PRICE LIST'!A:L,10,FALSE),0)</f>
        <v>0</v>
      </c>
      <c r="Z190" s="111" t="e">
        <f>VLOOKUP(C190,'TABULAR PRICE LIST'!$A:$L,12,FALSE)</f>
        <v>#N/A</v>
      </c>
      <c r="AA190" s="111" t="e">
        <f>Table14[[#This Row],[Coil Size]]*Table14[[#This Row],[D10]]/1000</f>
        <v>#VALUE!</v>
      </c>
      <c r="AB190" s="203" t="e">
        <f>Table14[[#This Row],[Weight/KYD]]*Table14[[#This Row],[D10]]</f>
        <v>#VALUE!</v>
      </c>
      <c r="AC190" s="177"/>
      <c r="AD190" s="111">
        <v>1</v>
      </c>
    </row>
    <row r="191" spans="1:30" ht="18.5" x14ac:dyDescent="0.45">
      <c r="A191" s="189" t="s">
        <v>34</v>
      </c>
      <c r="B191" s="18">
        <f t="shared" si="6"/>
        <v>179</v>
      </c>
      <c r="C191" s="21" t="s">
        <v>310</v>
      </c>
      <c r="D191" s="21" t="s">
        <v>211</v>
      </c>
      <c r="E191" s="21" t="s">
        <v>19</v>
      </c>
      <c r="F191" s="21">
        <v>340</v>
      </c>
      <c r="G191" s="22" t="s">
        <v>298</v>
      </c>
      <c r="H191" s="22" t="s">
        <v>311</v>
      </c>
      <c r="I191" s="20"/>
      <c r="J191" s="44" t="e">
        <f>Table1[[#This Row],[B]]</f>
        <v>#VALUE!</v>
      </c>
      <c r="K191" s="44" t="e">
        <f>Table1[[#This Row],[BE]]</f>
        <v>#VALUE!</v>
      </c>
      <c r="L191" s="44" t="e">
        <f>Table1[[#This Row],[G]]</f>
        <v>#VALUE!</v>
      </c>
      <c r="M191" s="44" t="e">
        <f>Table1[[#This Row],[J]]</f>
        <v>#VALUE!</v>
      </c>
      <c r="N191" s="193" t="e">
        <f>Table1[[#This Row],[N]]</f>
        <v>#VALUE!</v>
      </c>
      <c r="O191" s="193" t="e">
        <f>Table1[[#This Row],[R]]</f>
        <v>#VALUE!</v>
      </c>
      <c r="P191" s="44" t="e">
        <f>Table1[[#This Row],[V]]</f>
        <v>#VALUE!</v>
      </c>
      <c r="Q191" s="44" t="e">
        <f>Table1[[#This Row],[VJ]]</f>
        <v>#VALUE!</v>
      </c>
      <c r="R191" s="44" t="e">
        <f>Table1[[#This Row],[RN]]</f>
        <v>#VALUE!</v>
      </c>
      <c r="S191" s="44" t="e">
        <f>Table1[[#This Row],[Blank]]</f>
        <v>#VALUE!</v>
      </c>
      <c r="T191" s="105" t="e">
        <f>SUM(Table14[[#This Row],[B]:[Blank]])</f>
        <v>#VALUE!</v>
      </c>
      <c r="U191" s="116">
        <v>0.38</v>
      </c>
      <c r="V191" s="118" t="e">
        <f t="shared" si="5"/>
        <v>#VALUE!</v>
      </c>
      <c r="W191" s="111">
        <v>136.80000000000001</v>
      </c>
      <c r="X191" s="111" t="e">
        <f>Table14[[#This Row],[Coil Size]]*Table14[[#This Row],[D10]]/1000*VLOOKUP(Table14[[#This Row],[Navision Code]],'TABULAR PRICE LIST'!A:L,11,FALSE)</f>
        <v>#VALUE!</v>
      </c>
      <c r="Y191" s="111">
        <f>IFERROR(Table14[[#This Row],[Coil Size]]*Table14[[#This Row],[D10]]/1000*VLOOKUP(Table14[[#This Row],[Navision Code]],'TABULAR PRICE LIST'!A:L,10,FALSE),0)</f>
        <v>0</v>
      </c>
      <c r="Z191" s="111" t="e">
        <f>VLOOKUP(C191,'TABULAR PRICE LIST'!$A:$L,12,FALSE)</f>
        <v>#N/A</v>
      </c>
      <c r="AA191" s="111" t="e">
        <f>Table14[[#This Row],[Coil Size]]*Table14[[#This Row],[D10]]/1000</f>
        <v>#VALUE!</v>
      </c>
      <c r="AB191" s="203" t="e">
        <f>Table14[[#This Row],[Weight/KYD]]*Table14[[#This Row],[D10]]</f>
        <v>#VALUE!</v>
      </c>
      <c r="AC191" s="177"/>
      <c r="AD191" s="111">
        <v>1</v>
      </c>
    </row>
    <row r="192" spans="1:30" ht="18.5" x14ac:dyDescent="0.45">
      <c r="A192" s="189" t="s">
        <v>34</v>
      </c>
      <c r="B192" s="18">
        <f t="shared" si="6"/>
        <v>180</v>
      </c>
      <c r="C192" s="21" t="s">
        <v>312</v>
      </c>
      <c r="D192" s="21" t="s">
        <v>211</v>
      </c>
      <c r="E192" s="21" t="s">
        <v>19</v>
      </c>
      <c r="F192" s="21">
        <v>340</v>
      </c>
      <c r="G192" s="22" t="s">
        <v>298</v>
      </c>
      <c r="H192" s="22" t="s">
        <v>313</v>
      </c>
      <c r="I192" s="20"/>
      <c r="J192" s="44" t="e">
        <f>Table1[[#This Row],[B]]</f>
        <v>#VALUE!</v>
      </c>
      <c r="K192" s="44" t="e">
        <f>Table1[[#This Row],[BE]]</f>
        <v>#VALUE!</v>
      </c>
      <c r="L192" s="44" t="e">
        <f>Table1[[#This Row],[G]]</f>
        <v>#VALUE!</v>
      </c>
      <c r="M192" s="44" t="e">
        <f>Table1[[#This Row],[J]]</f>
        <v>#VALUE!</v>
      </c>
      <c r="N192" s="193" t="e">
        <f>Table1[[#This Row],[N]]</f>
        <v>#VALUE!</v>
      </c>
      <c r="O192" s="193" t="e">
        <f>Table1[[#This Row],[R]]</f>
        <v>#VALUE!</v>
      </c>
      <c r="P192" s="44" t="e">
        <f>Table1[[#This Row],[V]]</f>
        <v>#VALUE!</v>
      </c>
      <c r="Q192" s="44" t="e">
        <f>Table1[[#This Row],[VJ]]</f>
        <v>#VALUE!</v>
      </c>
      <c r="R192" s="44" t="e">
        <f>Table1[[#This Row],[RN]]</f>
        <v>#VALUE!</v>
      </c>
      <c r="S192" s="44" t="e">
        <f>Table1[[#This Row],[Blank]]</f>
        <v>#VALUE!</v>
      </c>
      <c r="T192" s="105" t="e">
        <f>SUM(Table14[[#This Row],[B]:[Blank]])</f>
        <v>#VALUE!</v>
      </c>
      <c r="U192" s="116">
        <v>0.49399999999999999</v>
      </c>
      <c r="V192" s="118" t="e">
        <f t="shared" si="5"/>
        <v>#VALUE!</v>
      </c>
      <c r="W192" s="111">
        <v>204</v>
      </c>
      <c r="X192" s="111" t="e">
        <f>Table14[[#This Row],[Coil Size]]*Table14[[#This Row],[D10]]/1000*VLOOKUP(Table14[[#This Row],[Navision Code]],'TABULAR PRICE LIST'!A:L,11,FALSE)</f>
        <v>#VALUE!</v>
      </c>
      <c r="Y192" s="111">
        <f>IFERROR(Table14[[#This Row],[Coil Size]]*Table14[[#This Row],[D10]]/1000*VLOOKUP(Table14[[#This Row],[Navision Code]],'TABULAR PRICE LIST'!A:L,10,FALSE),0)</f>
        <v>0</v>
      </c>
      <c r="Z192" s="111" t="e">
        <f>VLOOKUP(C192,'TABULAR PRICE LIST'!$A:$L,12,FALSE)</f>
        <v>#N/A</v>
      </c>
      <c r="AA192" s="111" t="e">
        <f>Table14[[#This Row],[Coil Size]]*Table14[[#This Row],[D10]]/1000</f>
        <v>#VALUE!</v>
      </c>
      <c r="AB192" s="203" t="e">
        <f>Table14[[#This Row],[Weight/KYD]]*Table14[[#This Row],[D10]]</f>
        <v>#VALUE!</v>
      </c>
      <c r="AC192" s="177"/>
      <c r="AD192" s="111">
        <v>1</v>
      </c>
    </row>
    <row r="193" spans="1:30" ht="18.5" x14ac:dyDescent="0.45">
      <c r="A193" s="189" t="s">
        <v>34</v>
      </c>
      <c r="B193" s="18">
        <f t="shared" si="6"/>
        <v>181</v>
      </c>
      <c r="C193" s="21" t="s">
        <v>314</v>
      </c>
      <c r="D193" s="21" t="s">
        <v>211</v>
      </c>
      <c r="E193" s="21" t="s">
        <v>19</v>
      </c>
      <c r="F193" s="21">
        <v>450</v>
      </c>
      <c r="G193" s="22" t="s">
        <v>298</v>
      </c>
      <c r="H193" s="22" t="s">
        <v>315</v>
      </c>
      <c r="I193" s="20"/>
      <c r="J193" s="44" t="e">
        <f>Table1[[#This Row],[B]]</f>
        <v>#VALUE!</v>
      </c>
      <c r="K193" s="44" t="e">
        <f>Table1[[#This Row],[BE]]</f>
        <v>#VALUE!</v>
      </c>
      <c r="L193" s="44" t="e">
        <f>Table1[[#This Row],[G]]</f>
        <v>#VALUE!</v>
      </c>
      <c r="M193" s="44" t="e">
        <f>Table1[[#This Row],[J]]</f>
        <v>#VALUE!</v>
      </c>
      <c r="N193" s="193" t="e">
        <f>Table1[[#This Row],[N]]</f>
        <v>#VALUE!</v>
      </c>
      <c r="O193" s="193" t="e">
        <f>Table1[[#This Row],[R]]</f>
        <v>#VALUE!</v>
      </c>
      <c r="P193" s="44" t="e">
        <f>Table1[[#This Row],[V]]</f>
        <v>#VALUE!</v>
      </c>
      <c r="Q193" s="44" t="e">
        <f>Table1[[#This Row],[VJ]]</f>
        <v>#VALUE!</v>
      </c>
      <c r="R193" s="44" t="e">
        <f>Table1[[#This Row],[RN]]</f>
        <v>#VALUE!</v>
      </c>
      <c r="S193" s="44" t="e">
        <f>Table1[[#This Row],[Blank]]</f>
        <v>#VALUE!</v>
      </c>
      <c r="T193" s="105" t="e">
        <f>SUM(Table14[[#This Row],[B]:[Blank]])</f>
        <v>#VALUE!</v>
      </c>
      <c r="U193" s="116">
        <v>0.75</v>
      </c>
      <c r="V193" s="118" t="e">
        <f t="shared" si="5"/>
        <v>#VALUE!</v>
      </c>
      <c r="W193" s="117">
        <f>4*10*8.89/1000</f>
        <v>0.35560000000000003</v>
      </c>
      <c r="X193" s="117" t="e">
        <f>Table14[[#This Row],[Coil Size]]*Table14[[#This Row],[D10]]/1000*VLOOKUP(Table14[[#This Row],[Navision Code]],'TABULAR PRICE LIST'!A:L,11,FALSE)</f>
        <v>#VALUE!</v>
      </c>
      <c r="Y193" s="117">
        <f>IFERROR(Table14[[#This Row],[Coil Size]]*Table14[[#This Row],[D10]]/1000*VLOOKUP(Table14[[#This Row],[Navision Code]],'TABULAR PRICE LIST'!A:L,10,FALSE),0)</f>
        <v>0</v>
      </c>
      <c r="Z193" s="117" t="e">
        <f>VLOOKUP(C193,'TABULAR PRICE LIST'!$A:$L,12,FALSE)</f>
        <v>#N/A</v>
      </c>
      <c r="AA193" s="117" t="e">
        <f>Table14[[#This Row],[Coil Size]]*Table14[[#This Row],[D10]]/1000</f>
        <v>#VALUE!</v>
      </c>
      <c r="AB193" s="118" t="e">
        <f>Table14[[#This Row],[Weight/KYD]]*Table14[[#This Row],[D10]]</f>
        <v>#VALUE!</v>
      </c>
      <c r="AC193" s="177"/>
      <c r="AD193" s="118">
        <v>1</v>
      </c>
    </row>
    <row r="194" spans="1:30" ht="18.5" x14ac:dyDescent="0.45">
      <c r="A194" s="189" t="s">
        <v>34</v>
      </c>
      <c r="B194" s="18">
        <f t="shared" si="6"/>
        <v>182</v>
      </c>
      <c r="C194" s="21" t="s">
        <v>312</v>
      </c>
      <c r="D194" s="21" t="s">
        <v>211</v>
      </c>
      <c r="E194" s="21" t="s">
        <v>19</v>
      </c>
      <c r="F194" s="21">
        <v>450</v>
      </c>
      <c r="G194" s="22" t="s">
        <v>298</v>
      </c>
      <c r="H194" s="22" t="s">
        <v>316</v>
      </c>
      <c r="I194" s="20"/>
      <c r="J194" s="44" t="e">
        <f>Table1[[#This Row],[B]]</f>
        <v>#VALUE!</v>
      </c>
      <c r="K194" s="44" t="e">
        <f>Table1[[#This Row],[BE]]</f>
        <v>#VALUE!</v>
      </c>
      <c r="L194" s="44" t="e">
        <f>Table1[[#This Row],[G]]</f>
        <v>#VALUE!</v>
      </c>
      <c r="M194" s="44" t="e">
        <f>Table1[[#This Row],[J]]</f>
        <v>#VALUE!</v>
      </c>
      <c r="N194" s="193" t="e">
        <f>Table1[[#This Row],[N]]</f>
        <v>#VALUE!</v>
      </c>
      <c r="O194" s="193" t="e">
        <f>Table1[[#This Row],[R]]</f>
        <v>#VALUE!</v>
      </c>
      <c r="P194" s="44" t="e">
        <f>Table1[[#This Row],[V]]</f>
        <v>#VALUE!</v>
      </c>
      <c r="Q194" s="44" t="e">
        <f>Table1[[#This Row],[VJ]]</f>
        <v>#VALUE!</v>
      </c>
      <c r="R194" s="44" t="e">
        <f>Table1[[#This Row],[RN]]</f>
        <v>#VALUE!</v>
      </c>
      <c r="S194" s="44" t="e">
        <f>Table1[[#This Row],[Blank]]</f>
        <v>#VALUE!</v>
      </c>
      <c r="T194" s="105" t="e">
        <f>SUM(Table14[[#This Row],[B]:[Blank]])</f>
        <v>#VALUE!</v>
      </c>
      <c r="U194" s="116">
        <v>0.93500000000000005</v>
      </c>
      <c r="V194" s="118" t="e">
        <f t="shared" si="5"/>
        <v>#VALUE!</v>
      </c>
      <c r="W194" s="117">
        <f>4*16*8.89/1000</f>
        <v>0.56896000000000002</v>
      </c>
      <c r="X194" s="117" t="e">
        <f>Table14[[#This Row],[Coil Size]]*Table14[[#This Row],[D10]]/1000*VLOOKUP(Table14[[#This Row],[Navision Code]],'TABULAR PRICE LIST'!A:L,11,FALSE)</f>
        <v>#VALUE!</v>
      </c>
      <c r="Y194" s="117">
        <f>IFERROR(Table14[[#This Row],[Coil Size]]*Table14[[#This Row],[D10]]/1000*VLOOKUP(Table14[[#This Row],[Navision Code]],'TABULAR PRICE LIST'!A:L,10,FALSE),0)</f>
        <v>0</v>
      </c>
      <c r="Z194" s="117" t="e">
        <f>VLOOKUP(C194,'TABULAR PRICE LIST'!$A:$L,12,FALSE)</f>
        <v>#N/A</v>
      </c>
      <c r="AA194" s="117" t="e">
        <f>Table14[[#This Row],[Coil Size]]*Table14[[#This Row],[D10]]/1000</f>
        <v>#VALUE!</v>
      </c>
      <c r="AB194" s="118" t="e">
        <f>Table14[[#This Row],[Weight/KYD]]*Table14[[#This Row],[D10]]</f>
        <v>#VALUE!</v>
      </c>
      <c r="AC194" s="177"/>
      <c r="AD194" s="118">
        <v>1</v>
      </c>
    </row>
    <row r="195" spans="1:30" ht="18.5" x14ac:dyDescent="0.45">
      <c r="A195" s="189" t="s">
        <v>34</v>
      </c>
      <c r="B195" s="18">
        <f t="shared" si="6"/>
        <v>183</v>
      </c>
      <c r="C195" s="21" t="s">
        <v>317</v>
      </c>
      <c r="D195" s="21" t="s">
        <v>211</v>
      </c>
      <c r="E195" s="21" t="s">
        <v>19</v>
      </c>
      <c r="F195" s="21">
        <v>340</v>
      </c>
      <c r="G195" s="22" t="s">
        <v>298</v>
      </c>
      <c r="H195" s="22" t="s">
        <v>318</v>
      </c>
      <c r="I195" s="20"/>
      <c r="J195" s="44" t="e">
        <f>Table1[[#This Row],[B]]</f>
        <v>#VALUE!</v>
      </c>
      <c r="K195" s="44" t="e">
        <f>Table1[[#This Row],[BE]]</f>
        <v>#VALUE!</v>
      </c>
      <c r="L195" s="44" t="e">
        <f>Table1[[#This Row],[G]]</f>
        <v>#VALUE!</v>
      </c>
      <c r="M195" s="44" t="e">
        <f>Table1[[#This Row],[J]]</f>
        <v>#VALUE!</v>
      </c>
      <c r="N195" s="193" t="e">
        <f>Table1[[#This Row],[N]]</f>
        <v>#VALUE!</v>
      </c>
      <c r="O195" s="193" t="e">
        <f>Table1[[#This Row],[R]]</f>
        <v>#VALUE!</v>
      </c>
      <c r="P195" s="44" t="e">
        <f>Table1[[#This Row],[V]]</f>
        <v>#VALUE!</v>
      </c>
      <c r="Q195" s="44" t="e">
        <f>Table1[[#This Row],[VJ]]</f>
        <v>#VALUE!</v>
      </c>
      <c r="R195" s="44" t="e">
        <f>Table1[[#This Row],[RN]]</f>
        <v>#VALUE!</v>
      </c>
      <c r="S195" s="44" t="e">
        <f>Table1[[#This Row],[Blank]]</f>
        <v>#VALUE!</v>
      </c>
      <c r="T195" s="105" t="e">
        <f>SUM(Table14[[#This Row],[B]:[Blank]])</f>
        <v>#VALUE!</v>
      </c>
      <c r="U195" s="116">
        <v>1.532702116752156</v>
      </c>
      <c r="V195" s="118" t="e">
        <f t="shared" si="5"/>
        <v>#VALUE!</v>
      </c>
      <c r="W195" s="117">
        <f>4*25*8.89/1000</f>
        <v>0.88900000000000001</v>
      </c>
      <c r="X195" s="117" t="e">
        <f>Table14[[#This Row],[Coil Size]]*Table14[[#This Row],[D10]]/1000*VLOOKUP(Table14[[#This Row],[Navision Code]],'TABULAR PRICE LIST'!A:L,11,FALSE)</f>
        <v>#VALUE!</v>
      </c>
      <c r="Y195" s="117">
        <f>IFERROR(Table14[[#This Row],[Coil Size]]*Table14[[#This Row],[D10]]/1000*VLOOKUP(Table14[[#This Row],[Navision Code]],'TABULAR PRICE LIST'!A:L,10,FALSE),0)</f>
        <v>0</v>
      </c>
      <c r="Z195" s="117" t="e">
        <f>VLOOKUP(C195,'TABULAR PRICE LIST'!$A:$L,12,FALSE)</f>
        <v>#N/A</v>
      </c>
      <c r="AA195" s="117" t="e">
        <f>Table14[[#This Row],[Coil Size]]*Table14[[#This Row],[D10]]/1000</f>
        <v>#VALUE!</v>
      </c>
      <c r="AB195" s="118" t="e">
        <f>Table14[[#This Row],[Weight/KYD]]*Table14[[#This Row],[D10]]</f>
        <v>#VALUE!</v>
      </c>
      <c r="AC195" s="177"/>
      <c r="AD195" s="118">
        <v>1</v>
      </c>
    </row>
    <row r="196" spans="1:30" ht="18.5" x14ac:dyDescent="0.45">
      <c r="A196" s="189" t="s">
        <v>34</v>
      </c>
      <c r="B196" s="18">
        <f t="shared" si="6"/>
        <v>184</v>
      </c>
      <c r="C196" s="21" t="s">
        <v>319</v>
      </c>
      <c r="D196" s="21" t="s">
        <v>211</v>
      </c>
      <c r="E196" s="21" t="s">
        <v>19</v>
      </c>
      <c r="F196" s="21">
        <v>340</v>
      </c>
      <c r="G196" s="22" t="s">
        <v>298</v>
      </c>
      <c r="H196" s="22" t="s">
        <v>320</v>
      </c>
      <c r="I196" s="20"/>
      <c r="J196" s="44" t="e">
        <f>Table1[[#This Row],[B]]</f>
        <v>#VALUE!</v>
      </c>
      <c r="K196" s="44" t="e">
        <f>Table1[[#This Row],[BE]]</f>
        <v>#VALUE!</v>
      </c>
      <c r="L196" s="44" t="e">
        <f>Table1[[#This Row],[G]]</f>
        <v>#VALUE!</v>
      </c>
      <c r="M196" s="44" t="e">
        <f>Table1[[#This Row],[J]]</f>
        <v>#VALUE!</v>
      </c>
      <c r="N196" s="193" t="e">
        <f>Table1[[#This Row],[N]]</f>
        <v>#VALUE!</v>
      </c>
      <c r="O196" s="193" t="e">
        <f>Table1[[#This Row],[R]]</f>
        <v>#VALUE!</v>
      </c>
      <c r="P196" s="44" t="e">
        <f>Table1[[#This Row],[V]]</f>
        <v>#VALUE!</v>
      </c>
      <c r="Q196" s="44" t="e">
        <f>Table1[[#This Row],[VJ]]</f>
        <v>#VALUE!</v>
      </c>
      <c r="R196" s="44" t="e">
        <f>Table1[[#This Row],[RN]]</f>
        <v>#VALUE!</v>
      </c>
      <c r="S196" s="44" t="e">
        <f>Table1[[#This Row],[Blank]]</f>
        <v>#VALUE!</v>
      </c>
      <c r="T196" s="105" t="e">
        <f>SUM(Table14[[#This Row],[B]:[Blank]])</f>
        <v>#VALUE!</v>
      </c>
      <c r="U196" s="116">
        <v>1.9998008082339305</v>
      </c>
      <c r="V196" s="118" t="e">
        <f t="shared" si="5"/>
        <v>#VALUE!</v>
      </c>
      <c r="W196" s="117">
        <v>1196</v>
      </c>
      <c r="X196" s="117" t="e">
        <f>Table14[[#This Row],[Coil Size]]*Table14[[#This Row],[D10]]/1000*VLOOKUP(Table14[[#This Row],[Navision Code]],'TABULAR PRICE LIST'!A:L,11,FALSE)</f>
        <v>#VALUE!</v>
      </c>
      <c r="Y196" s="117">
        <f>IFERROR(Table14[[#This Row],[Coil Size]]*Table14[[#This Row],[D10]]/1000*VLOOKUP(Table14[[#This Row],[Navision Code]],'TABULAR PRICE LIST'!A:L,10,FALSE),0)</f>
        <v>0</v>
      </c>
      <c r="Z196" s="117" t="e">
        <f>VLOOKUP(C196,'TABULAR PRICE LIST'!$A:$L,12,FALSE)</f>
        <v>#N/A</v>
      </c>
      <c r="AA196" s="117" t="e">
        <f>Table14[[#This Row],[Coil Size]]*Table14[[#This Row],[D10]]/1000</f>
        <v>#VALUE!</v>
      </c>
      <c r="AB196" s="118" t="e">
        <f>Table14[[#This Row],[Weight/KYD]]*Table14[[#This Row],[D10]]</f>
        <v>#VALUE!</v>
      </c>
      <c r="AC196" s="177"/>
      <c r="AD196" s="118">
        <v>1</v>
      </c>
    </row>
    <row r="197" spans="1:30" ht="18.5" x14ac:dyDescent="0.45">
      <c r="A197" s="189" t="s">
        <v>34</v>
      </c>
      <c r="B197" s="18">
        <f t="shared" si="6"/>
        <v>185</v>
      </c>
      <c r="C197" s="21" t="s">
        <v>321</v>
      </c>
      <c r="D197" s="21" t="s">
        <v>211</v>
      </c>
      <c r="E197" s="21" t="s">
        <v>19</v>
      </c>
      <c r="F197" s="21">
        <v>1</v>
      </c>
      <c r="G197" s="22" t="s">
        <v>298</v>
      </c>
      <c r="H197" s="22" t="s">
        <v>322</v>
      </c>
      <c r="I197" s="20"/>
      <c r="J197" s="44" t="e">
        <f>Table1[[#This Row],[B]]</f>
        <v>#VALUE!</v>
      </c>
      <c r="K197" s="44" t="e">
        <f>Table1[[#This Row],[BE]]</f>
        <v>#VALUE!</v>
      </c>
      <c r="L197" s="44" t="e">
        <f>Table1[[#This Row],[G]]</f>
        <v>#VALUE!</v>
      </c>
      <c r="M197" s="44" t="e">
        <f>Table1[[#This Row],[J]]</f>
        <v>#VALUE!</v>
      </c>
      <c r="N197" s="193" t="e">
        <f>Table1[[#This Row],[N]]</f>
        <v>#VALUE!</v>
      </c>
      <c r="O197" s="193" t="e">
        <f>Table1[[#This Row],[R]]</f>
        <v>#VALUE!</v>
      </c>
      <c r="P197" s="44" t="e">
        <f>Table1[[#This Row],[V]]</f>
        <v>#VALUE!</v>
      </c>
      <c r="Q197" s="44" t="e">
        <f>Table1[[#This Row],[VJ]]</f>
        <v>#VALUE!</v>
      </c>
      <c r="R197" s="44" t="e">
        <f>Table1[[#This Row],[RN]]</f>
        <v>#VALUE!</v>
      </c>
      <c r="S197" s="44" t="e">
        <f>Table1[[#This Row],[Blank]]</f>
        <v>#VALUE!</v>
      </c>
      <c r="T197" s="105" t="e">
        <f>SUM(Table14[[#This Row],[B]:[Blank]])</f>
        <v>#VALUE!</v>
      </c>
      <c r="U197" s="116">
        <v>2.9701789264413518</v>
      </c>
      <c r="V197" s="118" t="e">
        <f t="shared" si="5"/>
        <v>#VALUE!</v>
      </c>
      <c r="W197" s="117">
        <v>1636</v>
      </c>
      <c r="X197" s="117" t="e">
        <f>Table14[[#This Row],[Coil Size]]*Table14[[#This Row],[D10]]/1000*VLOOKUP(Table14[[#This Row],[Navision Code]],'TABULAR PRICE LIST'!A:L,11,FALSE)</f>
        <v>#VALUE!</v>
      </c>
      <c r="Y197" s="117">
        <f>IFERROR(Table14[[#This Row],[Coil Size]]*Table14[[#This Row],[D10]]/1000*VLOOKUP(Table14[[#This Row],[Navision Code]],'TABULAR PRICE LIST'!A:L,10,FALSE),0)</f>
        <v>0</v>
      </c>
      <c r="Z197" s="117" t="e">
        <f>VLOOKUP(C197,'TABULAR PRICE LIST'!$A:$L,12,FALSE)</f>
        <v>#N/A</v>
      </c>
      <c r="AA197" s="117" t="e">
        <f>Table14[[#This Row],[Coil Size]]*Table14[[#This Row],[D10]]/1000</f>
        <v>#VALUE!</v>
      </c>
      <c r="AB197" s="118" t="e">
        <f>Table14[[#This Row],[Weight/KYD]]*Table14[[#This Row],[D10]]</f>
        <v>#VALUE!</v>
      </c>
      <c r="AC197" s="177"/>
      <c r="AD197" s="118">
        <v>1</v>
      </c>
    </row>
    <row r="198" spans="1:30" ht="18.5" x14ac:dyDescent="0.45">
      <c r="A198" s="189" t="s">
        <v>34</v>
      </c>
      <c r="B198" s="18">
        <f t="shared" si="6"/>
        <v>186</v>
      </c>
      <c r="C198" s="21" t="s">
        <v>323</v>
      </c>
      <c r="D198" s="21" t="s">
        <v>211</v>
      </c>
      <c r="E198" s="21" t="s">
        <v>19</v>
      </c>
      <c r="F198" s="21">
        <v>1</v>
      </c>
      <c r="G198" s="22" t="s">
        <v>298</v>
      </c>
      <c r="H198" s="22" t="s">
        <v>324</v>
      </c>
      <c r="I198" s="20"/>
      <c r="J198" s="44" t="e">
        <f>Table1[[#This Row],[B]]</f>
        <v>#VALUE!</v>
      </c>
      <c r="K198" s="44" t="e">
        <f>Table1[[#This Row],[BE]]</f>
        <v>#VALUE!</v>
      </c>
      <c r="L198" s="44" t="e">
        <f>Table1[[#This Row],[G]]</f>
        <v>#VALUE!</v>
      </c>
      <c r="M198" s="44" t="e">
        <f>Table1[[#This Row],[J]]</f>
        <v>#VALUE!</v>
      </c>
      <c r="N198" s="193" t="e">
        <f>Table1[[#This Row],[N]]</f>
        <v>#VALUE!</v>
      </c>
      <c r="O198" s="193" t="e">
        <f>Table1[[#This Row],[R]]</f>
        <v>#VALUE!</v>
      </c>
      <c r="P198" s="44" t="e">
        <f>Table1[[#This Row],[V]]</f>
        <v>#VALUE!</v>
      </c>
      <c r="Q198" s="44" t="e">
        <f>Table1[[#This Row],[VJ]]</f>
        <v>#VALUE!</v>
      </c>
      <c r="R198" s="44" t="e">
        <f>Table1[[#This Row],[RN]]</f>
        <v>#VALUE!</v>
      </c>
      <c r="S198" s="44" t="e">
        <f>Table1[[#This Row],[Blank]]</f>
        <v>#VALUE!</v>
      </c>
      <c r="T198" s="105" t="e">
        <f>SUM(Table14[[#This Row],[B]:[Blank]])</f>
        <v>#VALUE!</v>
      </c>
      <c r="U198" s="116">
        <v>3.89887632925294</v>
      </c>
      <c r="V198" s="118" t="e">
        <f t="shared" si="5"/>
        <v>#VALUE!</v>
      </c>
      <c r="W198" s="111">
        <v>2363</v>
      </c>
      <c r="X198" s="111" t="e">
        <f>Table14[[#This Row],[Coil Size]]*Table14[[#This Row],[D10]]/1000*VLOOKUP(Table14[[#This Row],[Navision Code]],'TABULAR PRICE LIST'!A:L,11,FALSE)</f>
        <v>#VALUE!</v>
      </c>
      <c r="Y198" s="111">
        <f>IFERROR(Table14[[#This Row],[Coil Size]]*Table14[[#This Row],[D10]]/1000*VLOOKUP(Table14[[#This Row],[Navision Code]],'TABULAR PRICE LIST'!A:L,10,FALSE),0)</f>
        <v>0</v>
      </c>
      <c r="Z198" s="111" t="e">
        <f>VLOOKUP(C198,'TABULAR PRICE LIST'!$A:$L,12,FALSE)</f>
        <v>#N/A</v>
      </c>
      <c r="AA198" s="111" t="e">
        <f>Table14[[#This Row],[Coil Size]]*Table14[[#This Row],[D10]]/1000</f>
        <v>#VALUE!</v>
      </c>
      <c r="AB198" s="203" t="e">
        <f>Table14[[#This Row],[Weight/KYD]]*Table14[[#This Row],[D10]]</f>
        <v>#VALUE!</v>
      </c>
      <c r="AC198" s="177"/>
      <c r="AD198" s="111">
        <v>1</v>
      </c>
    </row>
    <row r="199" spans="1:30" ht="18.5" x14ac:dyDescent="0.45">
      <c r="A199" s="189" t="s">
        <v>34</v>
      </c>
      <c r="B199" s="18">
        <f t="shared" si="6"/>
        <v>187</v>
      </c>
      <c r="C199" s="21" t="s">
        <v>325</v>
      </c>
      <c r="D199" s="21" t="s">
        <v>211</v>
      </c>
      <c r="E199" s="21" t="s">
        <v>19</v>
      </c>
      <c r="F199" s="21">
        <v>1</v>
      </c>
      <c r="G199" s="22" t="s">
        <v>298</v>
      </c>
      <c r="H199" s="22" t="s">
        <v>326</v>
      </c>
      <c r="I199" s="20"/>
      <c r="J199" s="44" t="e">
        <f>Table1[[#This Row],[B]]</f>
        <v>#VALUE!</v>
      </c>
      <c r="K199" s="44" t="e">
        <f>Table1[[#This Row],[BE]]</f>
        <v>#VALUE!</v>
      </c>
      <c r="L199" s="44" t="e">
        <f>Table1[[#This Row],[G]]</f>
        <v>#VALUE!</v>
      </c>
      <c r="M199" s="44" t="e">
        <f>Table1[[#This Row],[J]]</f>
        <v>#VALUE!</v>
      </c>
      <c r="N199" s="193" t="e">
        <f>Table1[[#This Row],[N]]</f>
        <v>#VALUE!</v>
      </c>
      <c r="O199" s="193" t="e">
        <f>Table1[[#This Row],[R]]</f>
        <v>#VALUE!</v>
      </c>
      <c r="P199" s="44" t="e">
        <f>Table1[[#This Row],[V]]</f>
        <v>#VALUE!</v>
      </c>
      <c r="Q199" s="44" t="e">
        <f>Table1[[#This Row],[VJ]]</f>
        <v>#VALUE!</v>
      </c>
      <c r="R199" s="44" t="e">
        <f>Table1[[#This Row],[RN]]</f>
        <v>#VALUE!</v>
      </c>
      <c r="S199" s="44" t="e">
        <f>Table1[[#This Row],[Blank]]</f>
        <v>#VALUE!</v>
      </c>
      <c r="T199" s="105" t="e">
        <f>SUM(Table14[[#This Row],[B]:[Blank]])</f>
        <v>#VALUE!</v>
      </c>
      <c r="U199" s="116">
        <v>4.8099160777385155</v>
      </c>
      <c r="V199" s="118" t="e">
        <f t="shared" si="5"/>
        <v>#VALUE!</v>
      </c>
      <c r="W199" s="111">
        <v>3264</v>
      </c>
      <c r="X199" s="111" t="e">
        <f>Table14[[#This Row],[Coil Size]]*Table14[[#This Row],[D10]]/1000*VLOOKUP(Table14[[#This Row],[Navision Code]],'TABULAR PRICE LIST'!A:L,11,FALSE)</f>
        <v>#VALUE!</v>
      </c>
      <c r="Y199" s="111">
        <f>IFERROR(Table14[[#This Row],[Coil Size]]*Table14[[#This Row],[D10]]/1000*VLOOKUP(Table14[[#This Row],[Navision Code]],'TABULAR PRICE LIST'!A:L,10,FALSE),0)</f>
        <v>0</v>
      </c>
      <c r="Z199" s="111" t="e">
        <f>VLOOKUP(C199,'TABULAR PRICE LIST'!$A:$L,12,FALSE)</f>
        <v>#N/A</v>
      </c>
      <c r="AA199" s="111" t="e">
        <f>Table14[[#This Row],[Coil Size]]*Table14[[#This Row],[D10]]/1000</f>
        <v>#VALUE!</v>
      </c>
      <c r="AB199" s="203" t="e">
        <f>Table14[[#This Row],[Weight/KYD]]*Table14[[#This Row],[D10]]</f>
        <v>#VALUE!</v>
      </c>
      <c r="AC199" s="177"/>
      <c r="AD199" s="111">
        <v>1</v>
      </c>
    </row>
    <row r="200" spans="1:30" ht="18.5" x14ac:dyDescent="0.45">
      <c r="A200" s="189" t="s">
        <v>34</v>
      </c>
      <c r="B200" s="18">
        <f t="shared" si="6"/>
        <v>188</v>
      </c>
      <c r="C200" s="21" t="s">
        <v>327</v>
      </c>
      <c r="D200" s="21" t="s">
        <v>211</v>
      </c>
      <c r="E200" s="21" t="s">
        <v>19</v>
      </c>
      <c r="F200" s="21">
        <v>1</v>
      </c>
      <c r="G200" s="22" t="s">
        <v>298</v>
      </c>
      <c r="H200" s="22" t="s">
        <v>328</v>
      </c>
      <c r="I200" s="20"/>
      <c r="J200" s="44" t="e">
        <f>Table1[[#This Row],[B]]</f>
        <v>#VALUE!</v>
      </c>
      <c r="K200" s="44" t="e">
        <f>Table1[[#This Row],[BE]]</f>
        <v>#VALUE!</v>
      </c>
      <c r="L200" s="44" t="e">
        <f>Table1[[#This Row],[G]]</f>
        <v>#VALUE!</v>
      </c>
      <c r="M200" s="44" t="e">
        <f>Table1[[#This Row],[J]]</f>
        <v>#VALUE!</v>
      </c>
      <c r="N200" s="193" t="e">
        <f>Table1[[#This Row],[N]]</f>
        <v>#VALUE!</v>
      </c>
      <c r="O200" s="193" t="e">
        <f>Table1[[#This Row],[R]]</f>
        <v>#VALUE!</v>
      </c>
      <c r="P200" s="44" t="e">
        <f>Table1[[#This Row],[V]]</f>
        <v>#VALUE!</v>
      </c>
      <c r="Q200" s="44" t="e">
        <f>Table1[[#This Row],[VJ]]</f>
        <v>#VALUE!</v>
      </c>
      <c r="R200" s="44" t="e">
        <f>Table1[[#This Row],[RN]]</f>
        <v>#VALUE!</v>
      </c>
      <c r="S200" s="44" t="e">
        <f>Table1[[#This Row],[Blank]]</f>
        <v>#VALUE!</v>
      </c>
      <c r="T200" s="105" t="e">
        <f>SUM(Table14[[#This Row],[B]:[Blank]])</f>
        <v>#VALUE!</v>
      </c>
      <c r="U200" s="116">
        <v>6.067589803900729</v>
      </c>
      <c r="V200" s="118" t="e">
        <f t="shared" si="5"/>
        <v>#VALUE!</v>
      </c>
      <c r="W200" s="111">
        <v>4141</v>
      </c>
      <c r="X200" s="111" t="e">
        <f>Table14[[#This Row],[Coil Size]]*Table14[[#This Row],[D10]]/1000*VLOOKUP(Table14[[#This Row],[Navision Code]],'TABULAR PRICE LIST'!A:L,11,FALSE)</f>
        <v>#VALUE!</v>
      </c>
      <c r="Y200" s="111">
        <f>IFERROR(Table14[[#This Row],[Coil Size]]*Table14[[#This Row],[D10]]/1000*VLOOKUP(Table14[[#This Row],[Navision Code]],'TABULAR PRICE LIST'!A:L,10,FALSE),0)</f>
        <v>0</v>
      </c>
      <c r="Z200" s="111" t="e">
        <f>VLOOKUP(C200,'TABULAR PRICE LIST'!$A:$L,12,FALSE)</f>
        <v>#N/A</v>
      </c>
      <c r="AA200" s="111" t="e">
        <f>Table14[[#This Row],[Coil Size]]*Table14[[#This Row],[D10]]/1000</f>
        <v>#VALUE!</v>
      </c>
      <c r="AB200" s="203" t="e">
        <f>Table14[[#This Row],[Weight/KYD]]*Table14[[#This Row],[D10]]</f>
        <v>#VALUE!</v>
      </c>
      <c r="AC200" s="177"/>
      <c r="AD200" s="111">
        <v>1</v>
      </c>
    </row>
    <row r="201" spans="1:30" ht="18.5" x14ac:dyDescent="0.45">
      <c r="A201" s="189" t="s">
        <v>34</v>
      </c>
      <c r="B201" s="18">
        <f t="shared" si="6"/>
        <v>189</v>
      </c>
      <c r="C201" s="21" t="s">
        <v>321</v>
      </c>
      <c r="D201" s="21" t="s">
        <v>211</v>
      </c>
      <c r="E201" s="21" t="s">
        <v>19</v>
      </c>
      <c r="F201" s="21">
        <v>1</v>
      </c>
      <c r="G201" s="22" t="s">
        <v>298</v>
      </c>
      <c r="H201" s="22" t="s">
        <v>329</v>
      </c>
      <c r="I201" s="20"/>
      <c r="J201" s="44" t="e">
        <f>Table1[[#This Row],[B]]</f>
        <v>#VALUE!</v>
      </c>
      <c r="K201" s="44" t="e">
        <f>Table1[[#This Row],[BE]]</f>
        <v>#VALUE!</v>
      </c>
      <c r="L201" s="44" t="e">
        <f>Table1[[#This Row],[G]]</f>
        <v>#VALUE!</v>
      </c>
      <c r="M201" s="44" t="e">
        <f>Table1[[#This Row],[J]]</f>
        <v>#VALUE!</v>
      </c>
      <c r="N201" s="193" t="e">
        <f>Table1[[#This Row],[N]]</f>
        <v>#VALUE!</v>
      </c>
      <c r="O201" s="193" t="e">
        <f>Table1[[#This Row],[R]]</f>
        <v>#VALUE!</v>
      </c>
      <c r="P201" s="44" t="e">
        <f>Table1[[#This Row],[V]]</f>
        <v>#VALUE!</v>
      </c>
      <c r="Q201" s="44" t="e">
        <f>Table1[[#This Row],[VJ]]</f>
        <v>#VALUE!</v>
      </c>
      <c r="R201" s="44" t="e">
        <f>Table1[[#This Row],[RN]]</f>
        <v>#VALUE!</v>
      </c>
      <c r="S201" s="44" t="e">
        <f>Table1[[#This Row],[Blank]]</f>
        <v>#VALUE!</v>
      </c>
      <c r="T201" s="105" t="e">
        <f>SUM(Table14[[#This Row],[B]:[Blank]])</f>
        <v>#VALUE!</v>
      </c>
      <c r="U201" s="116">
        <v>7.619511848420756</v>
      </c>
      <c r="V201" s="118" t="e">
        <f t="shared" si="5"/>
        <v>#VALUE!</v>
      </c>
      <c r="W201" s="111">
        <v>5090</v>
      </c>
      <c r="X201" s="111" t="e">
        <f>Table14[[#This Row],[Coil Size]]*Table14[[#This Row],[D10]]/1000*VLOOKUP(Table14[[#This Row],[Navision Code]],'TABULAR PRICE LIST'!A:L,11,FALSE)</f>
        <v>#VALUE!</v>
      </c>
      <c r="Y201" s="111">
        <f>IFERROR(Table14[[#This Row],[Coil Size]]*Table14[[#This Row],[D10]]/1000*VLOOKUP(Table14[[#This Row],[Navision Code]],'TABULAR PRICE LIST'!A:L,10,FALSE),0)</f>
        <v>0</v>
      </c>
      <c r="Z201" s="111" t="e">
        <f>VLOOKUP(C201,'TABULAR PRICE LIST'!$A:$L,12,FALSE)</f>
        <v>#N/A</v>
      </c>
      <c r="AA201" s="111" t="e">
        <f>Table14[[#This Row],[Coil Size]]*Table14[[#This Row],[D10]]/1000</f>
        <v>#VALUE!</v>
      </c>
      <c r="AB201" s="203" t="e">
        <f>Table14[[#This Row],[Weight/KYD]]*Table14[[#This Row],[D10]]</f>
        <v>#VALUE!</v>
      </c>
      <c r="AC201" s="177"/>
      <c r="AD201" s="111">
        <v>1</v>
      </c>
    </row>
    <row r="202" spans="1:30" ht="18.5" x14ac:dyDescent="0.45">
      <c r="A202" s="189" t="s">
        <v>34</v>
      </c>
      <c r="B202" s="18">
        <f t="shared" si="6"/>
        <v>190</v>
      </c>
      <c r="C202" s="21" t="s">
        <v>330</v>
      </c>
      <c r="D202" s="21" t="s">
        <v>211</v>
      </c>
      <c r="E202" s="21" t="s">
        <v>19</v>
      </c>
      <c r="F202" s="21">
        <v>1</v>
      </c>
      <c r="G202" s="22" t="s">
        <v>298</v>
      </c>
      <c r="H202" s="22" t="s">
        <v>331</v>
      </c>
      <c r="I202" s="20"/>
      <c r="J202" s="44" t="e">
        <f>Table1[[#This Row],[B]]</f>
        <v>#VALUE!</v>
      </c>
      <c r="K202" s="44" t="e">
        <f>Table1[[#This Row],[BE]]</f>
        <v>#VALUE!</v>
      </c>
      <c r="L202" s="44" t="e">
        <f>Table1[[#This Row],[G]]</f>
        <v>#VALUE!</v>
      </c>
      <c r="M202" s="44" t="e">
        <f>Table1[[#This Row],[J]]</f>
        <v>#VALUE!</v>
      </c>
      <c r="N202" s="193" t="e">
        <f>Table1[[#This Row],[N]]</f>
        <v>#VALUE!</v>
      </c>
      <c r="O202" s="193" t="e">
        <f>Table1[[#This Row],[R]]</f>
        <v>#VALUE!</v>
      </c>
      <c r="P202" s="44" t="e">
        <f>Table1[[#This Row],[V]]</f>
        <v>#VALUE!</v>
      </c>
      <c r="Q202" s="44" t="e">
        <f>Table1[[#This Row],[VJ]]</f>
        <v>#VALUE!</v>
      </c>
      <c r="R202" s="44" t="e">
        <f>Table1[[#This Row],[RN]]</f>
        <v>#VALUE!</v>
      </c>
      <c r="S202" s="44" t="e">
        <f>Table1[[#This Row],[Blank]]</f>
        <v>#VALUE!</v>
      </c>
      <c r="T202" s="105" t="e">
        <f>SUM(Table14[[#This Row],[B]:[Blank]])</f>
        <v>#VALUE!</v>
      </c>
      <c r="U202" s="116">
        <v>9.0663472242240601</v>
      </c>
      <c r="V202" s="118" t="e">
        <f t="shared" si="5"/>
        <v>#VALUE!</v>
      </c>
      <c r="W202" s="111">
        <v>6383</v>
      </c>
      <c r="X202" s="111" t="e">
        <f>Table14[[#This Row],[Coil Size]]*Table14[[#This Row],[D10]]/1000*VLOOKUP(Table14[[#This Row],[Navision Code]],'TABULAR PRICE LIST'!A:L,11,FALSE)</f>
        <v>#VALUE!</v>
      </c>
      <c r="Y202" s="111">
        <f>IFERROR(Table14[[#This Row],[Coil Size]]*Table14[[#This Row],[D10]]/1000*VLOOKUP(Table14[[#This Row],[Navision Code]],'TABULAR PRICE LIST'!A:L,10,FALSE),0)</f>
        <v>0</v>
      </c>
      <c r="Z202" s="111" t="e">
        <f>VLOOKUP(C202,'TABULAR PRICE LIST'!$A:$L,12,FALSE)</f>
        <v>#N/A</v>
      </c>
      <c r="AA202" s="111" t="e">
        <f>Table14[[#This Row],[Coil Size]]*Table14[[#This Row],[D10]]/1000</f>
        <v>#VALUE!</v>
      </c>
      <c r="AB202" s="203" t="e">
        <f>Table14[[#This Row],[Weight/KYD]]*Table14[[#This Row],[D10]]</f>
        <v>#VALUE!</v>
      </c>
      <c r="AC202" s="177"/>
      <c r="AD202" s="111">
        <v>1</v>
      </c>
    </row>
    <row r="203" spans="1:30" thickBot="1" x14ac:dyDescent="0.5">
      <c r="A203" s="189" t="s">
        <v>34</v>
      </c>
      <c r="B203" s="23">
        <f t="shared" si="6"/>
        <v>191</v>
      </c>
      <c r="C203" s="30" t="s">
        <v>332</v>
      </c>
      <c r="D203" s="30" t="s">
        <v>211</v>
      </c>
      <c r="E203" s="30" t="s">
        <v>19</v>
      </c>
      <c r="F203" s="30">
        <v>1</v>
      </c>
      <c r="G203" s="31" t="s">
        <v>298</v>
      </c>
      <c r="H203" s="31" t="s">
        <v>333</v>
      </c>
      <c r="I203" s="25"/>
      <c r="J203" s="46" t="e">
        <f>Table1[[#This Row],[B]]</f>
        <v>#VALUE!</v>
      </c>
      <c r="K203" s="46" t="e">
        <f>Table1[[#This Row],[BE]]</f>
        <v>#VALUE!</v>
      </c>
      <c r="L203" s="46" t="e">
        <f>Table1[[#This Row],[G]]</f>
        <v>#VALUE!</v>
      </c>
      <c r="M203" s="46" t="e">
        <f>Table1[[#This Row],[J]]</f>
        <v>#VALUE!</v>
      </c>
      <c r="N203" s="195" t="e">
        <f>Table1[[#This Row],[N]]</f>
        <v>#VALUE!</v>
      </c>
      <c r="O203" s="195" t="e">
        <f>Table1[[#This Row],[R]]</f>
        <v>#VALUE!</v>
      </c>
      <c r="P203" s="46" t="e">
        <f>Table1[[#This Row],[V]]</f>
        <v>#VALUE!</v>
      </c>
      <c r="Q203" s="46" t="e">
        <f>Table1[[#This Row],[VJ]]</f>
        <v>#VALUE!</v>
      </c>
      <c r="R203" s="46" t="e">
        <f>Table1[[#This Row],[RN]]</f>
        <v>#VALUE!</v>
      </c>
      <c r="S203" s="46" t="e">
        <f>Table1[[#This Row],[Blank]]</f>
        <v>#VALUE!</v>
      </c>
      <c r="T203" s="106" t="e">
        <f>SUM(Table14[[#This Row],[B]:[Blank]])</f>
        <v>#VALUE!</v>
      </c>
      <c r="U203" s="119">
        <v>12.337338704847028</v>
      </c>
      <c r="V203" s="120" t="e">
        <f t="shared" si="5"/>
        <v>#VALUE!</v>
      </c>
      <c r="W203" s="111">
        <v>8464</v>
      </c>
      <c r="X203" s="111" t="e">
        <f>Table14[[#This Row],[Coil Size]]*Table14[[#This Row],[D10]]/1000*VLOOKUP(Table14[[#This Row],[Navision Code]],'TABULAR PRICE LIST'!A:L,11,FALSE)</f>
        <v>#VALUE!</v>
      </c>
      <c r="Y203" s="111">
        <f>IFERROR(Table14[[#This Row],[Coil Size]]*Table14[[#This Row],[D10]]/1000*VLOOKUP(Table14[[#This Row],[Navision Code]],'TABULAR PRICE LIST'!A:L,10,FALSE),0)</f>
        <v>0</v>
      </c>
      <c r="Z203" s="111" t="e">
        <f>VLOOKUP(C203,'TABULAR PRICE LIST'!$A:$L,12,FALSE)</f>
        <v>#N/A</v>
      </c>
      <c r="AA203" s="111" t="e">
        <f>Table14[[#This Row],[Coil Size]]*Table14[[#This Row],[D10]]/1000</f>
        <v>#VALUE!</v>
      </c>
      <c r="AB203" s="111" t="e">
        <f>Table14[[#This Row],[Weight/KYD]]*Table14[[#This Row],[D10]]</f>
        <v>#VALUE!</v>
      </c>
      <c r="AC203" s="177"/>
      <c r="AD203" s="111">
        <v>1</v>
      </c>
    </row>
    <row r="204" spans="1:30" ht="18.5" x14ac:dyDescent="0.45">
      <c r="A204" s="189" t="s">
        <v>34</v>
      </c>
      <c r="B204" s="15">
        <f t="shared" si="6"/>
        <v>192</v>
      </c>
      <c r="C204" s="38" t="s">
        <v>334</v>
      </c>
      <c r="D204" s="38" t="s">
        <v>211</v>
      </c>
      <c r="E204" s="38" t="s">
        <v>19</v>
      </c>
      <c r="F204" s="38">
        <v>1</v>
      </c>
      <c r="G204" s="39" t="s">
        <v>335</v>
      </c>
      <c r="H204" s="39">
        <v>10</v>
      </c>
      <c r="I204" s="17"/>
      <c r="J204" s="42" t="e">
        <f>Table1[[#This Row],[B]]</f>
        <v>#VALUE!</v>
      </c>
      <c r="K204" s="42" t="e">
        <f>Table1[[#This Row],[BE]]</f>
        <v>#VALUE!</v>
      </c>
      <c r="L204" s="42" t="e">
        <f>Table1[[#This Row],[G]]</f>
        <v>#VALUE!</v>
      </c>
      <c r="M204" s="42" t="e">
        <f>Table1[[#This Row],[J]]</f>
        <v>#VALUE!</v>
      </c>
      <c r="N204" s="42" t="e">
        <f>Table1[[#This Row],[N]]</f>
        <v>#VALUE!</v>
      </c>
      <c r="O204" s="42" t="e">
        <f>Table1[[#This Row],[R]]</f>
        <v>#VALUE!</v>
      </c>
      <c r="P204" s="42" t="e">
        <f>Table1[[#This Row],[V]]</f>
        <v>#VALUE!</v>
      </c>
      <c r="Q204" s="42" t="e">
        <f>Table1[[#This Row],[VJ]]</f>
        <v>#VALUE!</v>
      </c>
      <c r="R204" s="42" t="e">
        <f>Table1[[#This Row],[RN]]</f>
        <v>#VALUE!</v>
      </c>
      <c r="S204" s="190" t="e">
        <f>Table1[[#This Row],[Blank]]</f>
        <v>#VALUE!</v>
      </c>
      <c r="T204" s="109" t="e">
        <f>SUM(Table14[[#This Row],[B]:[Blank]])</f>
        <v>#VALUE!</v>
      </c>
      <c r="U204" s="114" t="e">
        <f>T204</f>
        <v>#VALUE!</v>
      </c>
      <c r="V204" s="115" t="e">
        <f t="shared" si="5"/>
        <v>#VALUE!</v>
      </c>
      <c r="W204" s="132"/>
      <c r="X204" s="137" t="e">
        <f>Table14[[#This Row],[Coil Size]]*Table14[[#This Row],[D10]]/1000*VLOOKUP(Table14[[#This Row],[Navision Code]],'TABULAR PRICE LIST'!A:L,11,FALSE)</f>
        <v>#VALUE!</v>
      </c>
      <c r="Y204" s="137">
        <f>IFERROR(Table14[[#This Row],[Coil Size]]*Table14[[#This Row],[D10]]/1000*VLOOKUP(Table14[[#This Row],[Navision Code]],'TABULAR PRICE LIST'!A:L,10,FALSE),0)</f>
        <v>0</v>
      </c>
      <c r="Z204" s="137" t="e">
        <f>VLOOKUP(C204,'TABULAR PRICE LIST'!$A:$L,12,FALSE)</f>
        <v>#N/A</v>
      </c>
      <c r="AA204" s="137" t="e">
        <f>Table14[[#This Row],[Coil Size]]*Table14[[#This Row],[D10]]/1000</f>
        <v>#VALUE!</v>
      </c>
      <c r="AB204" s="132" t="e">
        <f>Table14[[#This Row],[Weight/KYD]]*Table14[[#This Row],[D10]]</f>
        <v>#VALUE!</v>
      </c>
      <c r="AC204" s="177"/>
      <c r="AD204" s="132">
        <v>1</v>
      </c>
    </row>
    <row r="205" spans="1:30" ht="18.5" x14ac:dyDescent="0.45">
      <c r="A205" s="189" t="s">
        <v>34</v>
      </c>
      <c r="B205" s="18">
        <f t="shared" si="6"/>
        <v>193</v>
      </c>
      <c r="C205" s="21" t="s">
        <v>336</v>
      </c>
      <c r="D205" s="21" t="s">
        <v>211</v>
      </c>
      <c r="E205" s="21" t="s">
        <v>19</v>
      </c>
      <c r="F205" s="21">
        <v>1</v>
      </c>
      <c r="G205" s="22" t="s">
        <v>335</v>
      </c>
      <c r="H205" s="22">
        <v>16</v>
      </c>
      <c r="I205" s="20"/>
      <c r="J205" s="44" t="e">
        <f>Table1[[#This Row],[B]]</f>
        <v>#VALUE!</v>
      </c>
      <c r="K205" s="44" t="e">
        <f>Table1[[#This Row],[BE]]</f>
        <v>#VALUE!</v>
      </c>
      <c r="L205" s="44" t="e">
        <f>Table1[[#This Row],[G]]</f>
        <v>#VALUE!</v>
      </c>
      <c r="M205" s="44" t="e">
        <f>Table1[[#This Row],[J]]</f>
        <v>#VALUE!</v>
      </c>
      <c r="N205" s="44" t="e">
        <f>Table1[[#This Row],[N]]</f>
        <v>#VALUE!</v>
      </c>
      <c r="O205" s="44" t="e">
        <f>Table1[[#This Row],[R]]</f>
        <v>#VALUE!</v>
      </c>
      <c r="P205" s="44" t="e">
        <f>Table1[[#This Row],[V]]</f>
        <v>#VALUE!</v>
      </c>
      <c r="Q205" s="44" t="e">
        <f>Table1[[#This Row],[VJ]]</f>
        <v>#VALUE!</v>
      </c>
      <c r="R205" s="44" t="e">
        <f>Table1[[#This Row],[RN]]</f>
        <v>#VALUE!</v>
      </c>
      <c r="S205" s="193" t="e">
        <f>Table1[[#This Row],[Blank]]</f>
        <v>#VALUE!</v>
      </c>
      <c r="T205" s="105" t="e">
        <f>SUM(Table14[[#This Row],[B]:[Blank]])</f>
        <v>#VALUE!</v>
      </c>
      <c r="U205" s="116" t="e">
        <f t="shared" ref="U205:U210" si="7">T205</f>
        <v>#VALUE!</v>
      </c>
      <c r="V205" s="118" t="e">
        <f t="shared" si="5"/>
        <v>#VALUE!</v>
      </c>
      <c r="W205" s="117"/>
      <c r="X205" s="117" t="e">
        <f>Table14[[#This Row],[Coil Size]]*Table14[[#This Row],[D10]]/1000*VLOOKUP(Table14[[#This Row],[Navision Code]],'TABULAR PRICE LIST'!A:L,11,FALSE)</f>
        <v>#VALUE!</v>
      </c>
      <c r="Y205" s="117">
        <f>IFERROR(Table14[[#This Row],[Coil Size]]*Table14[[#This Row],[D10]]/1000*VLOOKUP(Table14[[#This Row],[Navision Code]],'TABULAR PRICE LIST'!A:L,10,FALSE),0)</f>
        <v>0</v>
      </c>
      <c r="Z205" s="117" t="e">
        <f>VLOOKUP(C205,'TABULAR PRICE LIST'!$A:$L,12,FALSE)</f>
        <v>#N/A</v>
      </c>
      <c r="AA205" s="117" t="e">
        <f>Table14[[#This Row],[Coil Size]]*Table14[[#This Row],[D10]]/1000</f>
        <v>#VALUE!</v>
      </c>
      <c r="AB205" s="121" t="e">
        <f>Table14[[#This Row],[Weight/KYD]]*Table14[[#This Row],[D10]]</f>
        <v>#VALUE!</v>
      </c>
      <c r="AC205" s="177"/>
      <c r="AD205" s="121">
        <v>1</v>
      </c>
    </row>
    <row r="206" spans="1:30" ht="18.5" x14ac:dyDescent="0.45">
      <c r="A206" s="189" t="s">
        <v>34</v>
      </c>
      <c r="B206" s="18">
        <f t="shared" si="6"/>
        <v>194</v>
      </c>
      <c r="C206" s="21" t="s">
        <v>337</v>
      </c>
      <c r="D206" s="21" t="s">
        <v>211</v>
      </c>
      <c r="E206" s="21" t="s">
        <v>19</v>
      </c>
      <c r="F206" s="21">
        <v>1</v>
      </c>
      <c r="G206" s="22" t="s">
        <v>335</v>
      </c>
      <c r="H206" s="22">
        <v>25</v>
      </c>
      <c r="I206" s="20"/>
      <c r="J206" s="44" t="e">
        <f>Table1[[#This Row],[B]]</f>
        <v>#VALUE!</v>
      </c>
      <c r="K206" s="44" t="e">
        <f>Table1[[#This Row],[BE]]</f>
        <v>#VALUE!</v>
      </c>
      <c r="L206" s="44" t="e">
        <f>Table1[[#This Row],[G]]</f>
        <v>#VALUE!</v>
      </c>
      <c r="M206" s="44" t="e">
        <f>Table1[[#This Row],[J]]</f>
        <v>#VALUE!</v>
      </c>
      <c r="N206" s="44" t="e">
        <f>Table1[[#This Row],[N]]</f>
        <v>#VALUE!</v>
      </c>
      <c r="O206" s="44" t="e">
        <f>Table1[[#This Row],[R]]</f>
        <v>#VALUE!</v>
      </c>
      <c r="P206" s="44" t="e">
        <f>Table1[[#This Row],[V]]</f>
        <v>#VALUE!</v>
      </c>
      <c r="Q206" s="44" t="e">
        <f>Table1[[#This Row],[VJ]]</f>
        <v>#VALUE!</v>
      </c>
      <c r="R206" s="44" t="e">
        <f>Table1[[#This Row],[RN]]</f>
        <v>#VALUE!</v>
      </c>
      <c r="S206" s="193" t="e">
        <f>Table1[[#This Row],[Blank]]</f>
        <v>#VALUE!</v>
      </c>
      <c r="T206" s="105" t="e">
        <f>SUM(Table14[[#This Row],[B]:[Blank]])</f>
        <v>#VALUE!</v>
      </c>
      <c r="U206" s="116" t="e">
        <f t="shared" si="7"/>
        <v>#VALUE!</v>
      </c>
      <c r="V206" s="118" t="e">
        <f t="shared" si="5"/>
        <v>#VALUE!</v>
      </c>
      <c r="W206" s="117"/>
      <c r="X206" s="117" t="e">
        <f>Table14[[#This Row],[Coil Size]]*Table14[[#This Row],[D10]]/1000*VLOOKUP(Table14[[#This Row],[Navision Code]],'TABULAR PRICE LIST'!A:L,11,FALSE)</f>
        <v>#VALUE!</v>
      </c>
      <c r="Y206" s="117">
        <f>IFERROR(Table14[[#This Row],[Coil Size]]*Table14[[#This Row],[D10]]/1000*VLOOKUP(Table14[[#This Row],[Navision Code]],'TABULAR PRICE LIST'!A:L,10,FALSE),0)</f>
        <v>0</v>
      </c>
      <c r="Z206" s="117" t="e">
        <f>VLOOKUP(C206,'TABULAR PRICE LIST'!$A:$L,12,FALSE)</f>
        <v>#N/A</v>
      </c>
      <c r="AA206" s="117" t="e">
        <f>Table14[[#This Row],[Coil Size]]*Table14[[#This Row],[D10]]/1000</f>
        <v>#VALUE!</v>
      </c>
      <c r="AB206" s="121" t="e">
        <f>Table14[[#This Row],[Weight/KYD]]*Table14[[#This Row],[D10]]</f>
        <v>#VALUE!</v>
      </c>
      <c r="AC206" s="177"/>
      <c r="AD206" s="121">
        <v>1</v>
      </c>
    </row>
    <row r="207" spans="1:30" ht="18.5" x14ac:dyDescent="0.45">
      <c r="A207" s="189" t="s">
        <v>34</v>
      </c>
      <c r="B207" s="18">
        <f t="shared" si="6"/>
        <v>195</v>
      </c>
      <c r="C207" s="21" t="s">
        <v>338</v>
      </c>
      <c r="D207" s="21" t="s">
        <v>211</v>
      </c>
      <c r="E207" s="21" t="s">
        <v>19</v>
      </c>
      <c r="F207" s="21">
        <v>1</v>
      </c>
      <c r="G207" s="22" t="s">
        <v>335</v>
      </c>
      <c r="H207" s="22">
        <v>35</v>
      </c>
      <c r="I207" s="20"/>
      <c r="J207" s="44" t="e">
        <f>Table1[[#This Row],[B]]</f>
        <v>#VALUE!</v>
      </c>
      <c r="K207" s="44" t="e">
        <f>Table1[[#This Row],[BE]]</f>
        <v>#VALUE!</v>
      </c>
      <c r="L207" s="44" t="e">
        <f>Table1[[#This Row],[G]]</f>
        <v>#VALUE!</v>
      </c>
      <c r="M207" s="44" t="e">
        <f>Table1[[#This Row],[J]]</f>
        <v>#VALUE!</v>
      </c>
      <c r="N207" s="44" t="e">
        <f>Table1[[#This Row],[N]]</f>
        <v>#VALUE!</v>
      </c>
      <c r="O207" s="44" t="e">
        <f>Table1[[#This Row],[R]]</f>
        <v>#VALUE!</v>
      </c>
      <c r="P207" s="44" t="e">
        <f>Table1[[#This Row],[V]]</f>
        <v>#VALUE!</v>
      </c>
      <c r="Q207" s="44" t="e">
        <f>Table1[[#This Row],[VJ]]</f>
        <v>#VALUE!</v>
      </c>
      <c r="R207" s="44" t="e">
        <f>Table1[[#This Row],[RN]]</f>
        <v>#VALUE!</v>
      </c>
      <c r="S207" s="193" t="e">
        <f>Table1[[#This Row],[Blank]]</f>
        <v>#VALUE!</v>
      </c>
      <c r="T207" s="105" t="e">
        <f>SUM(Table14[[#This Row],[B]:[Blank]])</f>
        <v>#VALUE!</v>
      </c>
      <c r="U207" s="116" t="e">
        <f t="shared" si="7"/>
        <v>#VALUE!</v>
      </c>
      <c r="V207" s="118" t="e">
        <f t="shared" ref="V207:V230" si="8">U207*T207</f>
        <v>#VALUE!</v>
      </c>
      <c r="W207" s="117"/>
      <c r="X207" s="117" t="e">
        <f>Table14[[#This Row],[Coil Size]]*Table14[[#This Row],[D10]]/1000*VLOOKUP(Table14[[#This Row],[Navision Code]],'TABULAR PRICE LIST'!A:L,11,FALSE)</f>
        <v>#VALUE!</v>
      </c>
      <c r="Y207" s="117">
        <f>IFERROR(Table14[[#This Row],[Coil Size]]*Table14[[#This Row],[D10]]/1000*VLOOKUP(Table14[[#This Row],[Navision Code]],'TABULAR PRICE LIST'!A:L,10,FALSE),0)</f>
        <v>0</v>
      </c>
      <c r="Z207" s="117" t="e">
        <f>VLOOKUP(C207,'TABULAR PRICE LIST'!$A:$L,12,FALSE)</f>
        <v>#N/A</v>
      </c>
      <c r="AA207" s="117" t="e">
        <f>Table14[[#This Row],[Coil Size]]*Table14[[#This Row],[D10]]/1000</f>
        <v>#VALUE!</v>
      </c>
      <c r="AB207" s="121" t="e">
        <f>Table14[[#This Row],[Weight/KYD]]*Table14[[#This Row],[D10]]</f>
        <v>#VALUE!</v>
      </c>
      <c r="AC207" s="177"/>
      <c r="AD207" s="121">
        <v>1</v>
      </c>
    </row>
    <row r="208" spans="1:30" ht="18.5" x14ac:dyDescent="0.45">
      <c r="A208" s="189" t="s">
        <v>34</v>
      </c>
      <c r="B208" s="18">
        <f t="shared" si="6"/>
        <v>196</v>
      </c>
      <c r="C208" s="21" t="s">
        <v>339</v>
      </c>
      <c r="D208" s="21" t="s">
        <v>211</v>
      </c>
      <c r="E208" s="21" t="s">
        <v>19</v>
      </c>
      <c r="F208" s="21">
        <v>1</v>
      </c>
      <c r="G208" s="22" t="s">
        <v>335</v>
      </c>
      <c r="H208" s="22">
        <v>50</v>
      </c>
      <c r="I208" s="20"/>
      <c r="J208" s="44" t="e">
        <f>Table1[[#This Row],[B]]</f>
        <v>#VALUE!</v>
      </c>
      <c r="K208" s="44" t="e">
        <f>Table1[[#This Row],[BE]]</f>
        <v>#VALUE!</v>
      </c>
      <c r="L208" s="44" t="e">
        <f>Table1[[#This Row],[G]]</f>
        <v>#VALUE!</v>
      </c>
      <c r="M208" s="44" t="e">
        <f>Table1[[#This Row],[J]]</f>
        <v>#VALUE!</v>
      </c>
      <c r="N208" s="44" t="e">
        <f>Table1[[#This Row],[N]]</f>
        <v>#VALUE!</v>
      </c>
      <c r="O208" s="44" t="e">
        <f>Table1[[#This Row],[R]]</f>
        <v>#VALUE!</v>
      </c>
      <c r="P208" s="44" t="e">
        <f>Table1[[#This Row],[V]]</f>
        <v>#VALUE!</v>
      </c>
      <c r="Q208" s="44" t="e">
        <f>Table1[[#This Row],[VJ]]</f>
        <v>#VALUE!</v>
      </c>
      <c r="R208" s="44" t="e">
        <f>Table1[[#This Row],[RN]]</f>
        <v>#VALUE!</v>
      </c>
      <c r="S208" s="193" t="e">
        <f>Table1[[#This Row],[Blank]]</f>
        <v>#VALUE!</v>
      </c>
      <c r="T208" s="105" t="e">
        <f>SUM(Table14[[#This Row],[B]:[Blank]])</f>
        <v>#VALUE!</v>
      </c>
      <c r="U208" s="116" t="e">
        <f t="shared" si="7"/>
        <v>#VALUE!</v>
      </c>
      <c r="V208" s="118" t="e">
        <f t="shared" si="8"/>
        <v>#VALUE!</v>
      </c>
      <c r="W208" s="117"/>
      <c r="X208" s="117" t="e">
        <f>Table14[[#This Row],[Coil Size]]*Table14[[#This Row],[D10]]/1000*VLOOKUP(Table14[[#This Row],[Navision Code]],'TABULAR PRICE LIST'!A:L,11,FALSE)</f>
        <v>#VALUE!</v>
      </c>
      <c r="Y208" s="117">
        <f>IFERROR(Table14[[#This Row],[Coil Size]]*Table14[[#This Row],[D10]]/1000*VLOOKUP(Table14[[#This Row],[Navision Code]],'TABULAR PRICE LIST'!A:L,10,FALSE),0)</f>
        <v>0</v>
      </c>
      <c r="Z208" s="117" t="e">
        <f>VLOOKUP(C208,'TABULAR PRICE LIST'!$A:$L,12,FALSE)</f>
        <v>#N/A</v>
      </c>
      <c r="AA208" s="117" t="e">
        <f>Table14[[#This Row],[Coil Size]]*Table14[[#This Row],[D10]]/1000</f>
        <v>#VALUE!</v>
      </c>
      <c r="AB208" s="121" t="e">
        <f>Table14[[#This Row],[Weight/KYD]]*Table14[[#This Row],[D10]]</f>
        <v>#VALUE!</v>
      </c>
      <c r="AC208" s="177"/>
      <c r="AD208" s="121">
        <v>1</v>
      </c>
    </row>
    <row r="209" spans="1:30" ht="18.5" x14ac:dyDescent="0.45">
      <c r="A209" s="189" t="s">
        <v>34</v>
      </c>
      <c r="B209" s="18">
        <f t="shared" si="6"/>
        <v>197</v>
      </c>
      <c r="C209" s="21" t="s">
        <v>340</v>
      </c>
      <c r="D209" s="21" t="s">
        <v>211</v>
      </c>
      <c r="E209" s="21" t="s">
        <v>19</v>
      </c>
      <c r="F209" s="21">
        <v>1</v>
      </c>
      <c r="G209" s="22" t="s">
        <v>335</v>
      </c>
      <c r="H209" s="22">
        <v>70</v>
      </c>
      <c r="I209" s="20"/>
      <c r="J209" s="44" t="e">
        <f>Table1[[#This Row],[B]]</f>
        <v>#VALUE!</v>
      </c>
      <c r="K209" s="44" t="e">
        <f>Table1[[#This Row],[BE]]</f>
        <v>#VALUE!</v>
      </c>
      <c r="L209" s="44" t="e">
        <f>Table1[[#This Row],[G]]</f>
        <v>#VALUE!</v>
      </c>
      <c r="M209" s="44" t="e">
        <f>Table1[[#This Row],[J]]</f>
        <v>#VALUE!</v>
      </c>
      <c r="N209" s="44" t="e">
        <f>Table1[[#This Row],[N]]</f>
        <v>#VALUE!</v>
      </c>
      <c r="O209" s="44" t="e">
        <f>Table1[[#This Row],[R]]</f>
        <v>#VALUE!</v>
      </c>
      <c r="P209" s="44" t="e">
        <f>Table1[[#This Row],[V]]</f>
        <v>#VALUE!</v>
      </c>
      <c r="Q209" s="44" t="e">
        <f>Table1[[#This Row],[VJ]]</f>
        <v>#VALUE!</v>
      </c>
      <c r="R209" s="44" t="e">
        <f>Table1[[#This Row],[RN]]</f>
        <v>#VALUE!</v>
      </c>
      <c r="S209" s="193" t="e">
        <f>Table1[[#This Row],[Blank]]</f>
        <v>#VALUE!</v>
      </c>
      <c r="T209" s="105" t="e">
        <f>SUM(Table14[[#This Row],[B]:[Blank]])</f>
        <v>#VALUE!</v>
      </c>
      <c r="U209" s="116" t="e">
        <f t="shared" si="7"/>
        <v>#VALUE!</v>
      </c>
      <c r="V209" s="118" t="e">
        <f t="shared" si="8"/>
        <v>#VALUE!</v>
      </c>
      <c r="W209" s="117"/>
      <c r="X209" s="117" t="e">
        <f>Table14[[#This Row],[Coil Size]]*Table14[[#This Row],[D10]]/1000*VLOOKUP(Table14[[#This Row],[Navision Code]],'TABULAR PRICE LIST'!A:L,11,FALSE)</f>
        <v>#VALUE!</v>
      </c>
      <c r="Y209" s="117">
        <f>IFERROR(Table14[[#This Row],[Coil Size]]*Table14[[#This Row],[D10]]/1000*VLOOKUP(Table14[[#This Row],[Navision Code]],'TABULAR PRICE LIST'!A:L,10,FALSE),0)</f>
        <v>0</v>
      </c>
      <c r="Z209" s="117" t="e">
        <f>VLOOKUP(C209,'TABULAR PRICE LIST'!$A:$L,12,FALSE)</f>
        <v>#N/A</v>
      </c>
      <c r="AA209" s="117" t="e">
        <f>Table14[[#This Row],[Coil Size]]*Table14[[#This Row],[D10]]/1000</f>
        <v>#VALUE!</v>
      </c>
      <c r="AB209" s="121" t="e">
        <f>Table14[[#This Row],[Weight/KYD]]*Table14[[#This Row],[D10]]</f>
        <v>#VALUE!</v>
      </c>
      <c r="AC209" s="177"/>
      <c r="AD209" s="121">
        <v>1</v>
      </c>
    </row>
    <row r="210" spans="1:30" thickBot="1" x14ac:dyDescent="0.5">
      <c r="A210" s="189" t="s">
        <v>34</v>
      </c>
      <c r="B210" s="23">
        <f t="shared" si="6"/>
        <v>198</v>
      </c>
      <c r="C210" s="30" t="s">
        <v>341</v>
      </c>
      <c r="D210" s="30" t="s">
        <v>211</v>
      </c>
      <c r="E210" s="30" t="s">
        <v>19</v>
      </c>
      <c r="F210" s="30">
        <v>1</v>
      </c>
      <c r="G210" s="31" t="s">
        <v>342</v>
      </c>
      <c r="H210" s="31">
        <v>95</v>
      </c>
      <c r="I210" s="25"/>
      <c r="J210" s="46" t="e">
        <f>Table1[[#This Row],[B]]</f>
        <v>#VALUE!</v>
      </c>
      <c r="K210" s="46" t="e">
        <f>Table1[[#This Row],[BE]]</f>
        <v>#VALUE!</v>
      </c>
      <c r="L210" s="46" t="e">
        <f>Table1[[#This Row],[G]]</f>
        <v>#VALUE!</v>
      </c>
      <c r="M210" s="46" t="e">
        <f>Table1[[#This Row],[J]]</f>
        <v>#VALUE!</v>
      </c>
      <c r="N210" s="46" t="e">
        <f>Table1[[#This Row],[N]]</f>
        <v>#VALUE!</v>
      </c>
      <c r="O210" s="46" t="e">
        <f>Table1[[#This Row],[R]]</f>
        <v>#VALUE!</v>
      </c>
      <c r="P210" s="46" t="e">
        <f>Table1[[#This Row],[V]]</f>
        <v>#VALUE!</v>
      </c>
      <c r="Q210" s="46" t="e">
        <f>Table1[[#This Row],[VJ]]</f>
        <v>#VALUE!</v>
      </c>
      <c r="R210" s="46" t="e">
        <f>Table1[[#This Row],[RN]]</f>
        <v>#VALUE!</v>
      </c>
      <c r="S210" s="195" t="e">
        <f>Table1[[#This Row],[Blank]]</f>
        <v>#VALUE!</v>
      </c>
      <c r="T210" s="106" t="e">
        <f>SUM(Table14[[#This Row],[B]:[Blank]])</f>
        <v>#VALUE!</v>
      </c>
      <c r="U210" s="119" t="e">
        <f t="shared" si="7"/>
        <v>#VALUE!</v>
      </c>
      <c r="V210" s="120" t="e">
        <f t="shared" si="8"/>
        <v>#VALUE!</v>
      </c>
      <c r="W210" s="133"/>
      <c r="X210" s="133" t="e">
        <f>Table14[[#This Row],[Coil Size]]*Table14[[#This Row],[D10]]/1000*VLOOKUP(Table14[[#This Row],[Navision Code]],'TABULAR PRICE LIST'!A:L,11,FALSE)</f>
        <v>#VALUE!</v>
      </c>
      <c r="Y210" s="133">
        <f>IFERROR(Table14[[#This Row],[Coil Size]]*Table14[[#This Row],[D10]]/1000*VLOOKUP(Table14[[#This Row],[Navision Code]],'TABULAR PRICE LIST'!A:L,10,FALSE),0)</f>
        <v>0</v>
      </c>
      <c r="Z210" s="133" t="e">
        <f>VLOOKUP(C210,'TABULAR PRICE LIST'!$A:$L,12,FALSE)</f>
        <v>#N/A</v>
      </c>
      <c r="AA210" s="133" t="e">
        <f>Table14[[#This Row],[Coil Size]]*Table14[[#This Row],[D10]]/1000</f>
        <v>#VALUE!</v>
      </c>
      <c r="AB210" s="133" t="e">
        <f>Table14[[#This Row],[Weight/KYD]]*Table14[[#This Row],[D10]]</f>
        <v>#VALUE!</v>
      </c>
      <c r="AC210" s="177"/>
      <c r="AD210" s="133">
        <v>1</v>
      </c>
    </row>
    <row r="211" spans="1:30" ht="18.5" x14ac:dyDescent="0.45">
      <c r="A211" s="189" t="s">
        <v>34</v>
      </c>
      <c r="B211" s="15">
        <f t="shared" si="6"/>
        <v>199</v>
      </c>
      <c r="C211" s="38" t="s">
        <v>515</v>
      </c>
      <c r="D211" s="38" t="s">
        <v>211</v>
      </c>
      <c r="E211" s="38" t="s">
        <v>19</v>
      </c>
      <c r="F211" s="38">
        <v>1</v>
      </c>
      <c r="G211" s="39" t="s">
        <v>343</v>
      </c>
      <c r="H211" s="39" t="s">
        <v>344</v>
      </c>
      <c r="I211" s="17"/>
      <c r="J211" s="42" t="e">
        <f>Table1[[#This Row],[B]]</f>
        <v>#VALUE!</v>
      </c>
      <c r="K211" s="42" t="e">
        <f>Table1[[#This Row],[BE]]</f>
        <v>#VALUE!</v>
      </c>
      <c r="L211" s="42" t="e">
        <f>Table1[[#This Row],[G]]</f>
        <v>#VALUE!</v>
      </c>
      <c r="M211" s="42" t="e">
        <f>Table1[[#This Row],[J]]</f>
        <v>#VALUE!</v>
      </c>
      <c r="N211" s="190" t="e">
        <f>Table1[[#This Row],[N]]</f>
        <v>#VALUE!</v>
      </c>
      <c r="O211" s="42" t="e">
        <f>Table1[[#This Row],[R]]</f>
        <v>#VALUE!</v>
      </c>
      <c r="P211" s="42" t="e">
        <f>Table1[[#This Row],[V]]</f>
        <v>#VALUE!</v>
      </c>
      <c r="Q211" s="42" t="e">
        <f>Table1[[#This Row],[VJ]]</f>
        <v>#VALUE!</v>
      </c>
      <c r="R211" s="42" t="e">
        <f>Table1[[#This Row],[RN]]</f>
        <v>#VALUE!</v>
      </c>
      <c r="S211" s="42" t="e">
        <f>Table1[[#This Row],[Blank]]</f>
        <v>#VALUE!</v>
      </c>
      <c r="T211" s="109" t="e">
        <f>SUM(Table14[[#This Row],[B]:[Blank]])</f>
        <v>#VALUE!</v>
      </c>
      <c r="U211" s="114">
        <v>0.16366235567808129</v>
      </c>
      <c r="V211" s="115" t="e">
        <f t="shared" si="8"/>
        <v>#VALUE!</v>
      </c>
      <c r="W211" s="132"/>
      <c r="X211" s="137" t="e">
        <f>Table14[[#This Row],[Coil Size]]*Table14[[#This Row],[D10]]/1000*VLOOKUP(Table14[[#This Row],[Navision Code]],'TABULAR PRICE LIST'!A:L,11,FALSE)</f>
        <v>#VALUE!</v>
      </c>
      <c r="Y211" s="137">
        <f>IFERROR(Table14[[#This Row],[Coil Size]]*Table14[[#This Row],[D10]]/1000*VLOOKUP(Table14[[#This Row],[Navision Code]],'TABULAR PRICE LIST'!A:L,10,FALSE),0)</f>
        <v>0</v>
      </c>
      <c r="Z211" s="137">
        <f>VLOOKUP(C211,'TABULAR PRICE LIST'!$A:$L,12,FALSE)</f>
        <v>754.39</v>
      </c>
      <c r="AA211" s="137" t="e">
        <f>Table14[[#This Row],[Coil Size]]*Table14[[#This Row],[D10]]/1000</f>
        <v>#VALUE!</v>
      </c>
      <c r="AB211" s="132" t="e">
        <f>Table14[[#This Row],[Weight/KYD]]*Table14[[#This Row],[D10]]</f>
        <v>#VALUE!</v>
      </c>
      <c r="AC211" s="177"/>
      <c r="AD211" s="132">
        <v>1</v>
      </c>
    </row>
    <row r="212" spans="1:30" ht="18.5" x14ac:dyDescent="0.45">
      <c r="A212" s="189" t="s">
        <v>34</v>
      </c>
      <c r="B212" s="18">
        <f t="shared" si="6"/>
        <v>200</v>
      </c>
      <c r="C212" s="21" t="s">
        <v>516</v>
      </c>
      <c r="D212" s="21" t="s">
        <v>211</v>
      </c>
      <c r="E212" s="21" t="s">
        <v>19</v>
      </c>
      <c r="F212" s="21">
        <v>1</v>
      </c>
      <c r="G212" s="22" t="s">
        <v>343</v>
      </c>
      <c r="H212" s="22" t="s">
        <v>345</v>
      </c>
      <c r="I212" s="20"/>
      <c r="J212" s="44" t="e">
        <f>Table1[[#This Row],[B]]</f>
        <v>#VALUE!</v>
      </c>
      <c r="K212" s="44" t="e">
        <f>Table1[[#This Row],[BE]]</f>
        <v>#VALUE!</v>
      </c>
      <c r="L212" s="44" t="e">
        <f>Table1[[#This Row],[G]]</f>
        <v>#VALUE!</v>
      </c>
      <c r="M212" s="44" t="e">
        <f>Table1[[#This Row],[J]]</f>
        <v>#VALUE!</v>
      </c>
      <c r="N212" s="193" t="e">
        <f>Table1[[#This Row],[N]]</f>
        <v>#VALUE!</v>
      </c>
      <c r="O212" s="44" t="e">
        <f>Table1[[#This Row],[R]]</f>
        <v>#VALUE!</v>
      </c>
      <c r="P212" s="44" t="e">
        <f>Table1[[#This Row],[V]]</f>
        <v>#VALUE!</v>
      </c>
      <c r="Q212" s="44" t="e">
        <f>Table1[[#This Row],[VJ]]</f>
        <v>#VALUE!</v>
      </c>
      <c r="R212" s="44" t="e">
        <f>Table1[[#This Row],[RN]]</f>
        <v>#VALUE!</v>
      </c>
      <c r="S212" s="44" t="e">
        <f>Table1[[#This Row],[Blank]]</f>
        <v>#VALUE!</v>
      </c>
      <c r="T212" s="105" t="e">
        <f>SUM(Table14[[#This Row],[B]:[Blank]])</f>
        <v>#VALUE!</v>
      </c>
      <c r="U212" s="116">
        <v>0.51041666666666674</v>
      </c>
      <c r="V212" s="118" t="e">
        <f t="shared" si="8"/>
        <v>#VALUE!</v>
      </c>
      <c r="W212" s="121"/>
      <c r="X212" s="121" t="e">
        <f>Table14[[#This Row],[Coil Size]]*Table14[[#This Row],[D10]]/1000*VLOOKUP(Table14[[#This Row],[Navision Code]],'TABULAR PRICE LIST'!A:L,11,FALSE)</f>
        <v>#VALUE!</v>
      </c>
      <c r="Y212" s="121">
        <f>IFERROR(Table14[[#This Row],[Coil Size]]*Table14[[#This Row],[D10]]/1000*VLOOKUP(Table14[[#This Row],[Navision Code]],'TABULAR PRICE LIST'!A:L,10,FALSE),0)</f>
        <v>0</v>
      </c>
      <c r="Z212" s="121">
        <f>VLOOKUP(C212,'TABULAR PRICE LIST'!$A:$L,12,FALSE)</f>
        <v>1149.33</v>
      </c>
      <c r="AA212" s="121" t="e">
        <f>Table14[[#This Row],[Coil Size]]*Table14[[#This Row],[D10]]/1000</f>
        <v>#VALUE!</v>
      </c>
      <c r="AB212" s="121" t="e">
        <f>Table14[[#This Row],[Weight/KYD]]*Table14[[#This Row],[D10]]</f>
        <v>#VALUE!</v>
      </c>
      <c r="AC212" s="177"/>
      <c r="AD212" s="121">
        <v>1</v>
      </c>
    </row>
    <row r="213" spans="1:30" ht="18.5" x14ac:dyDescent="0.45">
      <c r="A213" s="189" t="s">
        <v>34</v>
      </c>
      <c r="B213" s="18">
        <f t="shared" si="6"/>
        <v>201</v>
      </c>
      <c r="C213" s="21" t="s">
        <v>849</v>
      </c>
      <c r="D213" s="21" t="s">
        <v>211</v>
      </c>
      <c r="E213" s="21" t="s">
        <v>19</v>
      </c>
      <c r="F213" s="21">
        <v>1</v>
      </c>
      <c r="G213" s="22" t="s">
        <v>343</v>
      </c>
      <c r="H213" s="22" t="s">
        <v>851</v>
      </c>
      <c r="I213" s="20"/>
      <c r="J213" s="44" t="e">
        <f>Table1[[#This Row],[B]]</f>
        <v>#VALUE!</v>
      </c>
      <c r="K213" s="44" t="e">
        <f>Table1[[#This Row],[BE]]</f>
        <v>#VALUE!</v>
      </c>
      <c r="L213" s="44" t="e">
        <f>Table1[[#This Row],[G]]</f>
        <v>#VALUE!</v>
      </c>
      <c r="M213" s="44" t="e">
        <f>Table1[[#This Row],[J]]</f>
        <v>#VALUE!</v>
      </c>
      <c r="N213" s="193" t="e">
        <f>Table1[[#This Row],[N]]</f>
        <v>#VALUE!</v>
      </c>
      <c r="O213" s="44" t="e">
        <f>Table1[[#This Row],[R]]</f>
        <v>#VALUE!</v>
      </c>
      <c r="P213" s="44" t="e">
        <f>Table1[[#This Row],[V]]</f>
        <v>#VALUE!</v>
      </c>
      <c r="Q213" s="44" t="e">
        <f>Table1[[#This Row],[VJ]]</f>
        <v>#VALUE!</v>
      </c>
      <c r="R213" s="44" t="e">
        <f>Table1[[#This Row],[RN]]</f>
        <v>#VALUE!</v>
      </c>
      <c r="S213" s="44" t="e">
        <f>Table1[[#This Row],[Blank]]</f>
        <v>#VALUE!</v>
      </c>
      <c r="T213" s="105" t="e">
        <f>SUM(Table14[[#This Row],[B]:[Blank]])</f>
        <v>#VALUE!</v>
      </c>
      <c r="U213" s="116">
        <v>0.92521869068440177</v>
      </c>
      <c r="V213" s="118" t="e">
        <f t="shared" si="8"/>
        <v>#VALUE!</v>
      </c>
      <c r="W213" s="121"/>
      <c r="X213" s="121" t="e">
        <f>Table14[[#This Row],[Coil Size]]*Table14[[#This Row],[D10]]/1000*VLOOKUP(Table14[[#This Row],[Navision Code]],'TABULAR PRICE LIST'!A:L,11,FALSE)</f>
        <v>#VALUE!</v>
      </c>
      <c r="Y213" s="121">
        <f>IFERROR(Table14[[#This Row],[Coil Size]]*Table14[[#This Row],[D10]]/1000*VLOOKUP(Table14[[#This Row],[Navision Code]],'TABULAR PRICE LIST'!A:L,10,FALSE),0)</f>
        <v>0</v>
      </c>
      <c r="Z213" s="121" t="e">
        <f>VLOOKUP(C213,'TABULAR PRICE LIST'!$A:$L,12,FALSE)</f>
        <v>#N/A</v>
      </c>
      <c r="AA213" s="121" t="e">
        <f>Table14[[#This Row],[Coil Size]]*Table14[[#This Row],[D10]]/1000</f>
        <v>#VALUE!</v>
      </c>
      <c r="AB213" s="121" t="e">
        <f>Table14[[#This Row],[Weight/KYD]]*Table14[[#This Row],[D10]]</f>
        <v>#VALUE!</v>
      </c>
      <c r="AC213" s="177"/>
      <c r="AD213" s="121">
        <v>1</v>
      </c>
    </row>
    <row r="214" spans="1:30" ht="18.5" x14ac:dyDescent="0.45">
      <c r="A214" s="189" t="s">
        <v>34</v>
      </c>
      <c r="B214" s="18">
        <f t="shared" si="6"/>
        <v>202</v>
      </c>
      <c r="C214" s="21" t="s">
        <v>852</v>
      </c>
      <c r="D214" s="21" t="s">
        <v>211</v>
      </c>
      <c r="E214" s="21" t="s">
        <v>19</v>
      </c>
      <c r="F214" s="21">
        <v>1</v>
      </c>
      <c r="G214" s="22" t="s">
        <v>343</v>
      </c>
      <c r="H214" s="22" t="s">
        <v>856</v>
      </c>
      <c r="I214" s="20"/>
      <c r="J214" s="44" t="e">
        <f>Table1[[#This Row],[B]]</f>
        <v>#VALUE!</v>
      </c>
      <c r="K214" s="44" t="e">
        <f>Table1[[#This Row],[BE]]</f>
        <v>#VALUE!</v>
      </c>
      <c r="L214" s="44" t="e">
        <f>Table1[[#This Row],[G]]</f>
        <v>#VALUE!</v>
      </c>
      <c r="M214" s="44" t="e">
        <f>Table1[[#This Row],[J]]</f>
        <v>#VALUE!</v>
      </c>
      <c r="N214" s="193" t="e">
        <f>Table1[[#This Row],[N]]</f>
        <v>#VALUE!</v>
      </c>
      <c r="O214" s="44" t="e">
        <f>Table1[[#This Row],[R]]</f>
        <v>#VALUE!</v>
      </c>
      <c r="P214" s="44" t="e">
        <f>Table1[[#This Row],[V]]</f>
        <v>#VALUE!</v>
      </c>
      <c r="Q214" s="44" t="e">
        <f>Table1[[#This Row],[VJ]]</f>
        <v>#VALUE!</v>
      </c>
      <c r="R214" s="44" t="e">
        <f>Table1[[#This Row],[RN]]</f>
        <v>#VALUE!</v>
      </c>
      <c r="S214" s="44" t="e">
        <f>Table1[[#This Row],[Blank]]</f>
        <v>#VALUE!</v>
      </c>
      <c r="T214" s="105" t="e">
        <f>SUM(Table14[[#This Row],[B]:[Blank]])</f>
        <v>#VALUE!</v>
      </c>
      <c r="U214" s="116">
        <v>1.1531418901424539</v>
      </c>
      <c r="V214" s="118" t="e">
        <f t="shared" si="8"/>
        <v>#VALUE!</v>
      </c>
      <c r="W214" s="121"/>
      <c r="X214" s="121" t="e">
        <f>Table14[[#This Row],[Coil Size]]*Table14[[#This Row],[D10]]/1000*VLOOKUP(Table14[[#This Row],[Navision Code]],'TABULAR PRICE LIST'!A:L,11,FALSE)</f>
        <v>#VALUE!</v>
      </c>
      <c r="Y214" s="121">
        <f>IFERROR(Table14[[#This Row],[Coil Size]]*Table14[[#This Row],[D10]]/1000*VLOOKUP(Table14[[#This Row],[Navision Code]],'TABULAR PRICE LIST'!A:L,10,FALSE),0)</f>
        <v>0</v>
      </c>
      <c r="Z214" s="121" t="e">
        <f>VLOOKUP(C214,'TABULAR PRICE LIST'!$A:$L,12,FALSE)</f>
        <v>#N/A</v>
      </c>
      <c r="AA214" s="121" t="e">
        <f>Table14[[#This Row],[Coil Size]]*Table14[[#This Row],[D10]]/1000</f>
        <v>#VALUE!</v>
      </c>
      <c r="AB214" s="121" t="e">
        <f>Table14[[#This Row],[Weight/KYD]]*Table14[[#This Row],[D10]]</f>
        <v>#VALUE!</v>
      </c>
      <c r="AC214" s="177"/>
      <c r="AD214" s="121">
        <v>1</v>
      </c>
    </row>
    <row r="215" spans="1:30" ht="18.5" x14ac:dyDescent="0.45">
      <c r="A215" s="189" t="s">
        <v>34</v>
      </c>
      <c r="B215" s="18">
        <v>202</v>
      </c>
      <c r="C215" s="21" t="s">
        <v>497</v>
      </c>
      <c r="D215" s="21" t="s">
        <v>211</v>
      </c>
      <c r="E215" s="21" t="s">
        <v>19</v>
      </c>
      <c r="F215" s="21">
        <v>1</v>
      </c>
      <c r="G215" s="22" t="s">
        <v>343</v>
      </c>
      <c r="H215" s="22" t="s">
        <v>498</v>
      </c>
      <c r="I215" s="20"/>
      <c r="J215" s="44" t="e">
        <f>Table1[[#This Row],[B]]</f>
        <v>#VALUE!</v>
      </c>
      <c r="K215" s="44" t="e">
        <f>Table1[[#This Row],[BE]]</f>
        <v>#VALUE!</v>
      </c>
      <c r="L215" s="44" t="e">
        <f>Table1[[#This Row],[G]]</f>
        <v>#VALUE!</v>
      </c>
      <c r="M215" s="44" t="e">
        <f>Table1[[#This Row],[J]]</f>
        <v>#VALUE!</v>
      </c>
      <c r="N215" s="193" t="e">
        <f>Table1[[#This Row],[N]]</f>
        <v>#VALUE!</v>
      </c>
      <c r="O215" s="44" t="e">
        <f>Table1[[#This Row],[R]]</f>
        <v>#VALUE!</v>
      </c>
      <c r="P215" s="44" t="e">
        <f>Table1[[#This Row],[V]]</f>
        <v>#VALUE!</v>
      </c>
      <c r="Q215" s="44" t="e">
        <f>Table1[[#This Row],[VJ]]</f>
        <v>#VALUE!</v>
      </c>
      <c r="R215" s="44" t="e">
        <f>Table1[[#This Row],[RN]]</f>
        <v>#VALUE!</v>
      </c>
      <c r="S215" s="44" t="e">
        <f>Table1[[#This Row],[Blank]]</f>
        <v>#VALUE!</v>
      </c>
      <c r="T215" s="105" t="e">
        <f>SUM(Table14[[#This Row],[B]:[Blank]])</f>
        <v>#VALUE!</v>
      </c>
      <c r="U215" s="116"/>
      <c r="V215" s="118" t="e">
        <f>U215*T215</f>
        <v>#VALUE!</v>
      </c>
      <c r="W215" s="121"/>
      <c r="X215" s="121" t="e">
        <f>Table14[[#This Row],[Coil Size]]*Table14[[#This Row],[D10]]/1000*VLOOKUP(Table14[[#This Row],[Navision Code]],'TABULAR PRICE LIST'!A:L,11,FALSE)</f>
        <v>#VALUE!</v>
      </c>
      <c r="Y215" s="121">
        <f>IFERROR(Table14[[#This Row],[Coil Size]]*Table14[[#This Row],[D10]]/1000*VLOOKUP(Table14[[#This Row],[Navision Code]],'TABULAR PRICE LIST'!A:L,10,FALSE),0)</f>
        <v>0</v>
      </c>
      <c r="Z215" s="121" t="e">
        <f>VLOOKUP(C215,'TABULAR PRICE LIST'!$A:$L,12,FALSE)</f>
        <v>#N/A</v>
      </c>
      <c r="AA215" s="121" t="e">
        <f>Table14[[#This Row],[Coil Size]]*Table14[[#This Row],[D10]]/1000</f>
        <v>#VALUE!</v>
      </c>
      <c r="AB215" s="121" t="e">
        <f>Table14[[#This Row],[Weight/KYD]]*Table14[[#This Row],[D10]]</f>
        <v>#VALUE!</v>
      </c>
      <c r="AC215" s="177"/>
      <c r="AD215" s="121">
        <v>2</v>
      </c>
    </row>
    <row r="216" spans="1:30" ht="18.5" x14ac:dyDescent="0.45">
      <c r="A216" s="189" t="s">
        <v>34</v>
      </c>
      <c r="B216" s="18">
        <f>B215+1</f>
        <v>203</v>
      </c>
      <c r="C216" s="21" t="s">
        <v>854</v>
      </c>
      <c r="D216" s="21" t="s">
        <v>211</v>
      </c>
      <c r="E216" s="21" t="s">
        <v>19</v>
      </c>
      <c r="F216" s="21">
        <v>1</v>
      </c>
      <c r="G216" s="22" t="s">
        <v>343</v>
      </c>
      <c r="H216" s="22" t="s">
        <v>857</v>
      </c>
      <c r="I216" s="20"/>
      <c r="J216" s="44" t="e">
        <f>Table1[[#This Row],[B]]</f>
        <v>#VALUE!</v>
      </c>
      <c r="K216" s="44" t="e">
        <f>Table1[[#This Row],[BE]]</f>
        <v>#VALUE!</v>
      </c>
      <c r="L216" s="44" t="e">
        <f>Table1[[#This Row],[G]]</f>
        <v>#VALUE!</v>
      </c>
      <c r="M216" s="44" t="e">
        <f>Table1[[#This Row],[J]]</f>
        <v>#VALUE!</v>
      </c>
      <c r="N216" s="193" t="e">
        <f>Table1[[#This Row],[N]]</f>
        <v>#VALUE!</v>
      </c>
      <c r="O216" s="44" t="e">
        <f>Table1[[#This Row],[R]]</f>
        <v>#VALUE!</v>
      </c>
      <c r="P216" s="44" t="e">
        <f>Table1[[#This Row],[V]]</f>
        <v>#VALUE!</v>
      </c>
      <c r="Q216" s="44" t="e">
        <f>Table1[[#This Row],[VJ]]</f>
        <v>#VALUE!</v>
      </c>
      <c r="R216" s="44" t="e">
        <f>Table1[[#This Row],[RN]]</f>
        <v>#VALUE!</v>
      </c>
      <c r="S216" s="44" t="e">
        <f>Table1[[#This Row],[Blank]]</f>
        <v>#VALUE!</v>
      </c>
      <c r="T216" s="105" t="e">
        <f>SUM(Table14[[#This Row],[B]:[Blank]])</f>
        <v>#VALUE!</v>
      </c>
      <c r="U216" s="116">
        <v>1.9818760905296</v>
      </c>
      <c r="V216" s="118" t="e">
        <f t="shared" si="8"/>
        <v>#VALUE!</v>
      </c>
      <c r="W216" s="121"/>
      <c r="X216" s="121" t="e">
        <f>Table14[[#This Row],[Coil Size]]*Table14[[#This Row],[D10]]/1000*VLOOKUP(Table14[[#This Row],[Navision Code]],'TABULAR PRICE LIST'!A:L,11,FALSE)</f>
        <v>#VALUE!</v>
      </c>
      <c r="Y216" s="121">
        <f>IFERROR(Table14[[#This Row],[Coil Size]]*Table14[[#This Row],[D10]]/1000*VLOOKUP(Table14[[#This Row],[Navision Code]],'TABULAR PRICE LIST'!A:L,10,FALSE),0)</f>
        <v>0</v>
      </c>
      <c r="Z216" s="121" t="e">
        <f>VLOOKUP(C216,'TABULAR PRICE LIST'!$A:$L,12,FALSE)</f>
        <v>#N/A</v>
      </c>
      <c r="AA216" s="121" t="e">
        <f>Table14[[#This Row],[Coil Size]]*Table14[[#This Row],[D10]]/1000</f>
        <v>#VALUE!</v>
      </c>
      <c r="AB216" s="121" t="e">
        <f>Table14[[#This Row],[Weight/KYD]]*Table14[[#This Row],[D10]]</f>
        <v>#VALUE!</v>
      </c>
      <c r="AC216" s="177"/>
      <c r="AD216" s="121">
        <v>3</v>
      </c>
    </row>
    <row r="217" spans="1:30" ht="18.5" x14ac:dyDescent="0.45">
      <c r="A217" s="189" t="s">
        <v>34</v>
      </c>
      <c r="B217" s="18">
        <f t="shared" si="6"/>
        <v>204</v>
      </c>
      <c r="C217" s="21" t="s">
        <v>517</v>
      </c>
      <c r="D217" s="21" t="s">
        <v>211</v>
      </c>
      <c r="E217" s="21" t="s">
        <v>19</v>
      </c>
      <c r="F217" s="21">
        <v>1</v>
      </c>
      <c r="G217" s="22" t="s">
        <v>343</v>
      </c>
      <c r="H217" s="22" t="s">
        <v>237</v>
      </c>
      <c r="I217" s="20"/>
      <c r="J217" s="44" t="e">
        <f>Table1[[#This Row],[B]]</f>
        <v>#VALUE!</v>
      </c>
      <c r="K217" s="44" t="e">
        <f>Table1[[#This Row],[BE]]</f>
        <v>#VALUE!</v>
      </c>
      <c r="L217" s="44" t="e">
        <f>Table1[[#This Row],[G]]</f>
        <v>#VALUE!</v>
      </c>
      <c r="M217" s="44" t="e">
        <f>Table1[[#This Row],[J]]</f>
        <v>#VALUE!</v>
      </c>
      <c r="N217" s="193" t="e">
        <f>Table1[[#This Row],[N]]</f>
        <v>#VALUE!</v>
      </c>
      <c r="O217" s="44" t="e">
        <f>Table1[[#This Row],[R]]</f>
        <v>#VALUE!</v>
      </c>
      <c r="P217" s="44" t="e">
        <f>Table1[[#This Row],[V]]</f>
        <v>#VALUE!</v>
      </c>
      <c r="Q217" s="44" t="e">
        <f>Table1[[#This Row],[VJ]]</f>
        <v>#VALUE!</v>
      </c>
      <c r="R217" s="44" t="e">
        <f>Table1[[#This Row],[RN]]</f>
        <v>#VALUE!</v>
      </c>
      <c r="S217" s="44" t="e">
        <f>Table1[[#This Row],[Blank]]</f>
        <v>#VALUE!</v>
      </c>
      <c r="T217" s="105" t="e">
        <f>SUM(Table14[[#This Row],[B]:[Blank]])</f>
        <v>#VALUE!</v>
      </c>
      <c r="U217" s="116">
        <v>0.31489359738048656</v>
      </c>
      <c r="V217" s="118" t="e">
        <f t="shared" si="8"/>
        <v>#VALUE!</v>
      </c>
      <c r="W217" s="121"/>
      <c r="X217" s="121" t="e">
        <f>Table14[[#This Row],[Coil Size]]*Table14[[#This Row],[D10]]/1000*VLOOKUP(Table14[[#This Row],[Navision Code]],'TABULAR PRICE LIST'!A:L,11,FALSE)</f>
        <v>#VALUE!</v>
      </c>
      <c r="Y217" s="121">
        <f>IFERROR(Table14[[#This Row],[Coil Size]]*Table14[[#This Row],[D10]]/1000*VLOOKUP(Table14[[#This Row],[Navision Code]],'TABULAR PRICE LIST'!A:L,10,FALSE),0)</f>
        <v>0</v>
      </c>
      <c r="Z217" s="121">
        <f>VLOOKUP(C217,'TABULAR PRICE LIST'!$A:$L,12,FALSE)</f>
        <v>1490.5800000000002</v>
      </c>
      <c r="AA217" s="121" t="e">
        <f>Table14[[#This Row],[Coil Size]]*Table14[[#This Row],[D10]]/1000</f>
        <v>#VALUE!</v>
      </c>
      <c r="AB217" s="121" t="e">
        <f>Table14[[#This Row],[Weight/KYD]]*Table14[[#This Row],[D10]]</f>
        <v>#VALUE!</v>
      </c>
      <c r="AC217" s="177"/>
      <c r="AD217" s="121">
        <v>1</v>
      </c>
    </row>
    <row r="218" spans="1:30" ht="18.5" x14ac:dyDescent="0.45">
      <c r="A218" s="189" t="s">
        <v>34</v>
      </c>
      <c r="B218" s="18">
        <f t="shared" si="6"/>
        <v>205</v>
      </c>
      <c r="C218" s="21" t="s">
        <v>518</v>
      </c>
      <c r="D218" s="21" t="s">
        <v>211</v>
      </c>
      <c r="E218" s="21" t="s">
        <v>19</v>
      </c>
      <c r="F218" s="21">
        <v>1</v>
      </c>
      <c r="G218" s="22" t="s">
        <v>343</v>
      </c>
      <c r="H218" s="22" t="s">
        <v>239</v>
      </c>
      <c r="I218" s="20"/>
      <c r="J218" s="44" t="e">
        <f>Table1[[#This Row],[B]]</f>
        <v>#VALUE!</v>
      </c>
      <c r="K218" s="44" t="e">
        <f>Table1[[#This Row],[BE]]</f>
        <v>#VALUE!</v>
      </c>
      <c r="L218" s="44" t="e">
        <f>Table1[[#This Row],[G]]</f>
        <v>#VALUE!</v>
      </c>
      <c r="M218" s="44" t="e">
        <f>Table1[[#This Row],[J]]</f>
        <v>#VALUE!</v>
      </c>
      <c r="N218" s="193" t="e">
        <f>Table1[[#This Row],[N]]</f>
        <v>#VALUE!</v>
      </c>
      <c r="O218" s="44" t="e">
        <f>Table1[[#This Row],[R]]</f>
        <v>#VALUE!</v>
      </c>
      <c r="P218" s="44" t="e">
        <f>Table1[[#This Row],[V]]</f>
        <v>#VALUE!</v>
      </c>
      <c r="Q218" s="44" t="e">
        <f>Table1[[#This Row],[VJ]]</f>
        <v>#VALUE!</v>
      </c>
      <c r="R218" s="44" t="e">
        <f>Table1[[#This Row],[RN]]</f>
        <v>#VALUE!</v>
      </c>
      <c r="S218" s="44" t="e">
        <f>Table1[[#This Row],[Blank]]</f>
        <v>#VALUE!</v>
      </c>
      <c r="T218" s="105" t="e">
        <f>SUM(Table14[[#This Row],[B]:[Blank]])</f>
        <v>#VALUE!</v>
      </c>
      <c r="U218" s="116">
        <v>0.45300000000000001</v>
      </c>
      <c r="V218" s="118" t="e">
        <f t="shared" si="8"/>
        <v>#VALUE!</v>
      </c>
      <c r="W218" s="121"/>
      <c r="X218" s="121" t="e">
        <f>Table14[[#This Row],[Coil Size]]*Table14[[#This Row],[D10]]/1000*VLOOKUP(Table14[[#This Row],[Navision Code]],'TABULAR PRICE LIST'!A:L,11,FALSE)</f>
        <v>#VALUE!</v>
      </c>
      <c r="Y218" s="121">
        <f>IFERROR(Table14[[#This Row],[Coil Size]]*Table14[[#This Row],[D10]]/1000*VLOOKUP(Table14[[#This Row],[Navision Code]],'TABULAR PRICE LIST'!A:L,10,FALSE),0)</f>
        <v>0</v>
      </c>
      <c r="Z218" s="121">
        <f>VLOOKUP(C218,'TABULAR PRICE LIST'!$A:$L,12,FALSE)</f>
        <v>2217.67</v>
      </c>
      <c r="AA218" s="121" t="e">
        <f>Table14[[#This Row],[Coil Size]]*Table14[[#This Row],[D10]]/1000</f>
        <v>#VALUE!</v>
      </c>
      <c r="AB218" s="121" t="e">
        <f>Table14[[#This Row],[Weight/KYD]]*Table14[[#This Row],[D10]]</f>
        <v>#VALUE!</v>
      </c>
      <c r="AC218" s="177"/>
      <c r="AD218" s="121">
        <v>1</v>
      </c>
    </row>
    <row r="219" spans="1:30" thickBot="1" x14ac:dyDescent="0.5">
      <c r="A219" s="189" t="s">
        <v>34</v>
      </c>
      <c r="B219" s="23">
        <f t="shared" si="6"/>
        <v>206</v>
      </c>
      <c r="C219" s="30" t="s">
        <v>519</v>
      </c>
      <c r="D219" s="30" t="s">
        <v>211</v>
      </c>
      <c r="E219" s="30" t="s">
        <v>19</v>
      </c>
      <c r="F219" s="30">
        <v>1</v>
      </c>
      <c r="G219" s="31" t="s">
        <v>343</v>
      </c>
      <c r="H219" s="31" t="s">
        <v>346</v>
      </c>
      <c r="I219" s="25"/>
      <c r="J219" s="46" t="e">
        <f>Table1[[#This Row],[B]]</f>
        <v>#VALUE!</v>
      </c>
      <c r="K219" s="46" t="e">
        <f>Table1[[#This Row],[BE]]</f>
        <v>#VALUE!</v>
      </c>
      <c r="L219" s="46" t="e">
        <f>Table1[[#This Row],[G]]</f>
        <v>#VALUE!</v>
      </c>
      <c r="M219" s="46" t="e">
        <f>Table1[[#This Row],[J]]</f>
        <v>#VALUE!</v>
      </c>
      <c r="N219" s="195" t="e">
        <f>Table1[[#This Row],[N]]</f>
        <v>#VALUE!</v>
      </c>
      <c r="O219" s="46" t="e">
        <f>Table1[[#This Row],[R]]</f>
        <v>#VALUE!</v>
      </c>
      <c r="P219" s="46" t="e">
        <f>Table1[[#This Row],[V]]</f>
        <v>#VALUE!</v>
      </c>
      <c r="Q219" s="46" t="e">
        <f>Table1[[#This Row],[VJ]]</f>
        <v>#VALUE!</v>
      </c>
      <c r="R219" s="46" t="e">
        <f>Table1[[#This Row],[RN]]</f>
        <v>#VALUE!</v>
      </c>
      <c r="S219" s="46" t="e">
        <f>Table1[[#This Row],[Blank]]</f>
        <v>#VALUE!</v>
      </c>
      <c r="T219" s="106" t="e">
        <f>SUM(Table14[[#This Row],[B]:[Blank]])</f>
        <v>#VALUE!</v>
      </c>
      <c r="U219" s="119">
        <v>0.62</v>
      </c>
      <c r="V219" s="120" t="e">
        <f t="shared" si="8"/>
        <v>#VALUE!</v>
      </c>
      <c r="W219" s="133"/>
      <c r="X219" s="133" t="e">
        <f>Table14[[#This Row],[Coil Size]]*Table14[[#This Row],[D10]]/1000*VLOOKUP(Table14[[#This Row],[Navision Code]],'TABULAR PRICE LIST'!A:L,11,FALSE)</f>
        <v>#VALUE!</v>
      </c>
      <c r="Y219" s="133">
        <f>IFERROR(Table14[[#This Row],[Coil Size]]*Table14[[#This Row],[D10]]/1000*VLOOKUP(Table14[[#This Row],[Navision Code]],'TABULAR PRICE LIST'!A:L,10,FALSE),0)</f>
        <v>0</v>
      </c>
      <c r="Z219" s="133">
        <f>VLOOKUP(C219,'TABULAR PRICE LIST'!$A:$L,12,FALSE)</f>
        <v>2987.53</v>
      </c>
      <c r="AA219" s="133" t="e">
        <f>Table14[[#This Row],[Coil Size]]*Table14[[#This Row],[D10]]/1000</f>
        <v>#VALUE!</v>
      </c>
      <c r="AB219" s="133" t="e">
        <f>Table14[[#This Row],[Weight/KYD]]*Table14[[#This Row],[D10]]</f>
        <v>#VALUE!</v>
      </c>
      <c r="AC219" s="177"/>
      <c r="AD219" s="133">
        <v>1</v>
      </c>
    </row>
    <row r="220" spans="1:30" ht="18.5" x14ac:dyDescent="0.45">
      <c r="A220" s="189" t="s">
        <v>34</v>
      </c>
      <c r="B220" s="18">
        <f>B219+1</f>
        <v>207</v>
      </c>
      <c r="C220" s="21" t="s">
        <v>348</v>
      </c>
      <c r="D220" s="21" t="s">
        <v>211</v>
      </c>
      <c r="E220" s="21" t="s">
        <v>19</v>
      </c>
      <c r="F220" s="21">
        <v>1</v>
      </c>
      <c r="G220" s="22" t="s">
        <v>347</v>
      </c>
      <c r="H220" s="22" t="s">
        <v>349</v>
      </c>
      <c r="I220" s="20"/>
      <c r="J220" s="44" t="e">
        <f>Table1[[#This Row],[B]]</f>
        <v>#VALUE!</v>
      </c>
      <c r="K220" s="44" t="e">
        <f>Table1[[#This Row],[BE]]</f>
        <v>#VALUE!</v>
      </c>
      <c r="L220" s="44" t="e">
        <f>Table1[[#This Row],[G]]</f>
        <v>#VALUE!</v>
      </c>
      <c r="M220" s="44" t="e">
        <f>Table1[[#This Row],[J]]</f>
        <v>#VALUE!</v>
      </c>
      <c r="N220" s="193" t="e">
        <f>Table1[[#This Row],[N]]</f>
        <v>#VALUE!</v>
      </c>
      <c r="O220" s="44" t="e">
        <f>Table1[[#This Row],[R]]</f>
        <v>#VALUE!</v>
      </c>
      <c r="P220" s="44" t="e">
        <f>Table1[[#This Row],[V]]</f>
        <v>#VALUE!</v>
      </c>
      <c r="Q220" s="44" t="e">
        <f>Table1[[#This Row],[VJ]]</f>
        <v>#VALUE!</v>
      </c>
      <c r="R220" s="44" t="e">
        <f>Table1[[#This Row],[RN]]</f>
        <v>#VALUE!</v>
      </c>
      <c r="S220" s="44" t="e">
        <f>Table1[[#This Row],[Blank]]</f>
        <v>#VALUE!</v>
      </c>
      <c r="T220" s="105" t="e">
        <f>SUM(Table14[[#This Row],[B]:[Blank]])</f>
        <v>#VALUE!</v>
      </c>
      <c r="U220" s="116">
        <v>0.16588366688312503</v>
      </c>
      <c r="V220" s="118" t="e">
        <f t="shared" si="8"/>
        <v>#VALUE!</v>
      </c>
      <c r="W220" s="121"/>
      <c r="X220" s="121" t="e">
        <f>Table14[[#This Row],[Coil Size]]*Table14[[#This Row],[D10]]/1000*VLOOKUP(Table14[[#This Row],[Navision Code]],'TABULAR PRICE LIST'!A:L,11,FALSE)</f>
        <v>#VALUE!</v>
      </c>
      <c r="Y220" s="121">
        <f>IFERROR(Table14[[#This Row],[Coil Size]]*Table14[[#This Row],[D10]]/1000*VLOOKUP(Table14[[#This Row],[Navision Code]],'TABULAR PRICE LIST'!A:L,10,FALSE),0)</f>
        <v>0</v>
      </c>
      <c r="Z220" s="121" t="e">
        <f>VLOOKUP(C220,'TABULAR PRICE LIST'!$A:$L,12,FALSE)</f>
        <v>#N/A</v>
      </c>
      <c r="AA220" s="121" t="e">
        <f>Table14[[#This Row],[Coil Size]]*Table14[[#This Row],[D10]]/1000</f>
        <v>#VALUE!</v>
      </c>
      <c r="AB220" s="121" t="e">
        <f>Table14[[#This Row],[Weight/KYD]]*Table14[[#This Row],[D10]]</f>
        <v>#VALUE!</v>
      </c>
      <c r="AC220" s="177"/>
      <c r="AD220" s="121">
        <v>1</v>
      </c>
    </row>
    <row r="221" spans="1:30" ht="18.5" x14ac:dyDescent="0.45">
      <c r="A221" s="189" t="s">
        <v>34</v>
      </c>
      <c r="B221" s="18">
        <f t="shared" si="6"/>
        <v>208</v>
      </c>
      <c r="C221" s="21" t="s">
        <v>350</v>
      </c>
      <c r="D221" s="21" t="s">
        <v>211</v>
      </c>
      <c r="E221" s="21" t="s">
        <v>19</v>
      </c>
      <c r="F221" s="21">
        <v>1</v>
      </c>
      <c r="G221" s="22" t="s">
        <v>347</v>
      </c>
      <c r="H221" s="22" t="s">
        <v>351</v>
      </c>
      <c r="I221" s="20"/>
      <c r="J221" s="44" t="e">
        <f>Table1[[#This Row],[B]]</f>
        <v>#VALUE!</v>
      </c>
      <c r="K221" s="44" t="e">
        <f>Table1[[#This Row],[BE]]</f>
        <v>#VALUE!</v>
      </c>
      <c r="L221" s="44" t="e">
        <f>Table1[[#This Row],[G]]</f>
        <v>#VALUE!</v>
      </c>
      <c r="M221" s="44" t="e">
        <f>Table1[[#This Row],[J]]</f>
        <v>#VALUE!</v>
      </c>
      <c r="N221" s="193" t="e">
        <f>Table1[[#This Row],[N]]</f>
        <v>#VALUE!</v>
      </c>
      <c r="O221" s="44" t="e">
        <f>Table1[[#This Row],[R]]</f>
        <v>#VALUE!</v>
      </c>
      <c r="P221" s="44" t="e">
        <f>Table1[[#This Row],[V]]</f>
        <v>#VALUE!</v>
      </c>
      <c r="Q221" s="44" t="e">
        <f>Table1[[#This Row],[VJ]]</f>
        <v>#VALUE!</v>
      </c>
      <c r="R221" s="44" t="e">
        <f>Table1[[#This Row],[RN]]</f>
        <v>#VALUE!</v>
      </c>
      <c r="S221" s="44" t="e">
        <f>Table1[[#This Row],[Blank]]</f>
        <v>#VALUE!</v>
      </c>
      <c r="T221" s="105" t="e">
        <f>SUM(Table14[[#This Row],[B]:[Blank]])</f>
        <v>#VALUE!</v>
      </c>
      <c r="U221" s="116">
        <v>0.24</v>
      </c>
      <c r="V221" s="118" t="e">
        <f t="shared" si="8"/>
        <v>#VALUE!</v>
      </c>
      <c r="W221" s="121"/>
      <c r="X221" s="121" t="e">
        <f>Table14[[#This Row],[Coil Size]]*Table14[[#This Row],[D10]]/1000*VLOOKUP(Table14[[#This Row],[Navision Code]],'TABULAR PRICE LIST'!A:L,11,FALSE)</f>
        <v>#VALUE!</v>
      </c>
      <c r="Y221" s="121">
        <f>IFERROR(Table14[[#This Row],[Coil Size]]*Table14[[#This Row],[D10]]/1000*VLOOKUP(Table14[[#This Row],[Navision Code]],'TABULAR PRICE LIST'!A:L,10,FALSE),0)</f>
        <v>0</v>
      </c>
      <c r="Z221" s="121" t="e">
        <f>VLOOKUP(C221,'TABULAR PRICE LIST'!$A:$L,12,FALSE)</f>
        <v>#N/A</v>
      </c>
      <c r="AA221" s="121" t="e">
        <f>Table14[[#This Row],[Coil Size]]*Table14[[#This Row],[D10]]/1000</f>
        <v>#VALUE!</v>
      </c>
      <c r="AB221" s="121" t="e">
        <f>Table14[[#This Row],[Weight/KYD]]*Table14[[#This Row],[D10]]</f>
        <v>#VALUE!</v>
      </c>
      <c r="AC221" s="177"/>
      <c r="AD221" s="121">
        <v>1</v>
      </c>
    </row>
    <row r="222" spans="1:30" thickBot="1" x14ac:dyDescent="0.5">
      <c r="A222" s="189" t="s">
        <v>34</v>
      </c>
      <c r="B222" s="23">
        <f t="shared" si="6"/>
        <v>209</v>
      </c>
      <c r="C222" s="30" t="s">
        <v>352</v>
      </c>
      <c r="D222" s="30" t="s">
        <v>211</v>
      </c>
      <c r="E222" s="30" t="s">
        <v>19</v>
      </c>
      <c r="F222" s="30">
        <v>1</v>
      </c>
      <c r="G222" s="31" t="s">
        <v>347</v>
      </c>
      <c r="H222" s="31" t="s">
        <v>353</v>
      </c>
      <c r="I222" s="25"/>
      <c r="J222" s="46" t="e">
        <f>Table1[[#This Row],[B]]</f>
        <v>#VALUE!</v>
      </c>
      <c r="K222" s="46" t="e">
        <f>Table1[[#This Row],[BE]]</f>
        <v>#VALUE!</v>
      </c>
      <c r="L222" s="46" t="e">
        <f>Table1[[#This Row],[G]]</f>
        <v>#VALUE!</v>
      </c>
      <c r="M222" s="46" t="e">
        <f>Table1[[#This Row],[J]]</f>
        <v>#VALUE!</v>
      </c>
      <c r="N222" s="195" t="e">
        <f>Table1[[#This Row],[N]]</f>
        <v>#VALUE!</v>
      </c>
      <c r="O222" s="46" t="e">
        <f>Table1[[#This Row],[R]]</f>
        <v>#VALUE!</v>
      </c>
      <c r="P222" s="46" t="e">
        <f>Table1[[#This Row],[V]]</f>
        <v>#VALUE!</v>
      </c>
      <c r="Q222" s="46" t="e">
        <f>Table1[[#This Row],[VJ]]</f>
        <v>#VALUE!</v>
      </c>
      <c r="R222" s="46" t="e">
        <f>Table1[[#This Row],[RN]]</f>
        <v>#VALUE!</v>
      </c>
      <c r="S222" s="46" t="e">
        <f>Table1[[#This Row],[Blank]]</f>
        <v>#VALUE!</v>
      </c>
      <c r="T222" s="106" t="e">
        <f>SUM(Table14[[#This Row],[B]:[Blank]])</f>
        <v>#VALUE!</v>
      </c>
      <c r="U222" s="119">
        <v>0.31</v>
      </c>
      <c r="V222" s="120" t="e">
        <f t="shared" si="8"/>
        <v>#VALUE!</v>
      </c>
      <c r="W222" s="133"/>
      <c r="X222" s="133" t="e">
        <f>Table14[[#This Row],[Coil Size]]*Table14[[#This Row],[D10]]/1000*VLOOKUP(Table14[[#This Row],[Navision Code]],'TABULAR PRICE LIST'!A:L,11,FALSE)</f>
        <v>#VALUE!</v>
      </c>
      <c r="Y222" s="133">
        <f>IFERROR(Table14[[#This Row],[Coil Size]]*Table14[[#This Row],[D10]]/1000*VLOOKUP(Table14[[#This Row],[Navision Code]],'TABULAR PRICE LIST'!A:L,10,FALSE),0)</f>
        <v>0</v>
      </c>
      <c r="Z222" s="133" t="e">
        <f>VLOOKUP(C222,'TABULAR PRICE LIST'!$A:$L,12,FALSE)</f>
        <v>#N/A</v>
      </c>
      <c r="AA222" s="133" t="e">
        <f>Table14[[#This Row],[Coil Size]]*Table14[[#This Row],[D10]]/1000</f>
        <v>#VALUE!</v>
      </c>
      <c r="AB222" s="133" t="e">
        <f>Table14[[#This Row],[Weight/KYD]]*Table14[[#This Row],[D10]]</f>
        <v>#VALUE!</v>
      </c>
      <c r="AC222" s="177"/>
      <c r="AD222" s="133">
        <v>1</v>
      </c>
    </row>
    <row r="223" spans="1:30" ht="18.5" x14ac:dyDescent="0.45">
      <c r="A223" s="189" t="s">
        <v>34</v>
      </c>
      <c r="B223" s="15">
        <f t="shared" si="6"/>
        <v>210</v>
      </c>
      <c r="C223" s="38" t="s">
        <v>354</v>
      </c>
      <c r="D223" s="38" t="s">
        <v>211</v>
      </c>
      <c r="E223" s="38" t="s">
        <v>19</v>
      </c>
      <c r="F223" s="38">
        <v>1</v>
      </c>
      <c r="G223" s="39" t="s">
        <v>355</v>
      </c>
      <c r="H223" s="39" t="s">
        <v>349</v>
      </c>
      <c r="I223" s="17"/>
      <c r="J223" s="42" t="e">
        <f>Table1[[#This Row],[B]]</f>
        <v>#VALUE!</v>
      </c>
      <c r="K223" s="42" t="e">
        <f>Table1[[#This Row],[BE]]</f>
        <v>#VALUE!</v>
      </c>
      <c r="L223" s="42" t="e">
        <f>Table1[[#This Row],[G]]</f>
        <v>#VALUE!</v>
      </c>
      <c r="M223" s="42" t="e">
        <f>Table1[[#This Row],[J]]</f>
        <v>#VALUE!</v>
      </c>
      <c r="N223" s="190" t="e">
        <f>Table1[[#This Row],[N]]</f>
        <v>#VALUE!</v>
      </c>
      <c r="O223" s="42" t="e">
        <f>Table1[[#This Row],[R]]</f>
        <v>#VALUE!</v>
      </c>
      <c r="P223" s="42" t="e">
        <f>Table1[[#This Row],[V]]</f>
        <v>#VALUE!</v>
      </c>
      <c r="Q223" s="42" t="e">
        <f>Table1[[#This Row],[VJ]]</f>
        <v>#VALUE!</v>
      </c>
      <c r="R223" s="42" t="e">
        <f>Table1[[#This Row],[RN]]</f>
        <v>#VALUE!</v>
      </c>
      <c r="S223" s="42" t="e">
        <f>Table1[[#This Row],[Blank]]</f>
        <v>#VALUE!</v>
      </c>
      <c r="T223" s="109" t="e">
        <f>SUM(Table14[[#This Row],[B]:[Blank]])</f>
        <v>#VALUE!</v>
      </c>
      <c r="U223" s="114">
        <v>0.1</v>
      </c>
      <c r="V223" s="115" t="e">
        <f t="shared" si="8"/>
        <v>#VALUE!</v>
      </c>
      <c r="W223" s="132"/>
      <c r="X223" s="137" t="e">
        <f>Table14[[#This Row],[Coil Size]]*Table14[[#This Row],[D10]]/1000*VLOOKUP(Table14[[#This Row],[Navision Code]],'TABULAR PRICE LIST'!A:L,11,FALSE)</f>
        <v>#VALUE!</v>
      </c>
      <c r="Y223" s="137">
        <f>IFERROR(Table14[[#This Row],[Coil Size]]*Table14[[#This Row],[D10]]/1000*VLOOKUP(Table14[[#This Row],[Navision Code]],'TABULAR PRICE LIST'!A:L,10,FALSE),0)</f>
        <v>0</v>
      </c>
      <c r="Z223" s="137" t="e">
        <f>VLOOKUP(C223,'TABULAR PRICE LIST'!$A:$L,12,FALSE)</f>
        <v>#N/A</v>
      </c>
      <c r="AA223" s="137" t="e">
        <f>Table14[[#This Row],[Coil Size]]*Table14[[#This Row],[D10]]/1000</f>
        <v>#VALUE!</v>
      </c>
      <c r="AB223" s="132" t="e">
        <f>Table14[[#This Row],[Weight/KYD]]*Table14[[#This Row],[D10]]</f>
        <v>#VALUE!</v>
      </c>
      <c r="AC223" s="177"/>
      <c r="AD223" s="132">
        <v>1</v>
      </c>
    </row>
    <row r="224" spans="1:30" ht="18.5" x14ac:dyDescent="0.45">
      <c r="A224" s="189" t="s">
        <v>34</v>
      </c>
      <c r="B224" s="18">
        <f t="shared" si="6"/>
        <v>211</v>
      </c>
      <c r="C224" s="21" t="s">
        <v>356</v>
      </c>
      <c r="D224" s="21" t="s">
        <v>211</v>
      </c>
      <c r="E224" s="21" t="s">
        <v>19</v>
      </c>
      <c r="F224" s="21">
        <v>1</v>
      </c>
      <c r="G224" s="22" t="s">
        <v>355</v>
      </c>
      <c r="H224" s="22" t="s">
        <v>351</v>
      </c>
      <c r="I224" s="20"/>
      <c r="J224" s="44" t="e">
        <f>Table1[[#This Row],[B]]</f>
        <v>#VALUE!</v>
      </c>
      <c r="K224" s="44" t="e">
        <f>Table1[[#This Row],[BE]]</f>
        <v>#VALUE!</v>
      </c>
      <c r="L224" s="44" t="e">
        <f>Table1[[#This Row],[G]]</f>
        <v>#VALUE!</v>
      </c>
      <c r="M224" s="44" t="e">
        <f>Table1[[#This Row],[J]]</f>
        <v>#VALUE!</v>
      </c>
      <c r="N224" s="193" t="e">
        <f>Table1[[#This Row],[N]]</f>
        <v>#VALUE!</v>
      </c>
      <c r="O224" s="44" t="e">
        <f>Table1[[#This Row],[R]]</f>
        <v>#VALUE!</v>
      </c>
      <c r="P224" s="44" t="e">
        <f>Table1[[#This Row],[V]]</f>
        <v>#VALUE!</v>
      </c>
      <c r="Q224" s="44" t="e">
        <f>Table1[[#This Row],[VJ]]</f>
        <v>#VALUE!</v>
      </c>
      <c r="R224" s="44" t="e">
        <f>Table1[[#This Row],[RN]]</f>
        <v>#VALUE!</v>
      </c>
      <c r="S224" s="44" t="e">
        <f>Table1[[#This Row],[Blank]]</f>
        <v>#VALUE!</v>
      </c>
      <c r="T224" s="105" t="e">
        <f>SUM(Table14[[#This Row],[B]:[Blank]])</f>
        <v>#VALUE!</v>
      </c>
      <c r="U224" s="116">
        <v>0.13</v>
      </c>
      <c r="V224" s="118" t="e">
        <f t="shared" si="8"/>
        <v>#VALUE!</v>
      </c>
      <c r="W224" s="121"/>
      <c r="X224" s="121" t="e">
        <f>Table14[[#This Row],[Coil Size]]*Table14[[#This Row],[D10]]/1000*VLOOKUP(Table14[[#This Row],[Navision Code]],'TABULAR PRICE LIST'!A:L,11,FALSE)</f>
        <v>#VALUE!</v>
      </c>
      <c r="Y224" s="121">
        <f>IFERROR(Table14[[#This Row],[Coil Size]]*Table14[[#This Row],[D10]]/1000*VLOOKUP(Table14[[#This Row],[Navision Code]],'TABULAR PRICE LIST'!A:L,10,FALSE),0)</f>
        <v>0</v>
      </c>
      <c r="Z224" s="121" t="e">
        <f>VLOOKUP(C224,'TABULAR PRICE LIST'!$A:$L,12,FALSE)</f>
        <v>#N/A</v>
      </c>
      <c r="AA224" s="121" t="e">
        <f>Table14[[#This Row],[Coil Size]]*Table14[[#This Row],[D10]]/1000</f>
        <v>#VALUE!</v>
      </c>
      <c r="AB224" s="121" t="e">
        <f>Table14[[#This Row],[Weight/KYD]]*Table14[[#This Row],[D10]]</f>
        <v>#VALUE!</v>
      </c>
      <c r="AC224" s="177"/>
      <c r="AD224" s="121">
        <v>1</v>
      </c>
    </row>
    <row r="225" spans="1:30" thickBot="1" x14ac:dyDescent="0.5">
      <c r="A225" s="189" t="s">
        <v>34</v>
      </c>
      <c r="B225" s="23">
        <f t="shared" si="6"/>
        <v>212</v>
      </c>
      <c r="C225" s="30" t="s">
        <v>357</v>
      </c>
      <c r="D225" s="30" t="s">
        <v>211</v>
      </c>
      <c r="E225" s="30" t="s">
        <v>19</v>
      </c>
      <c r="F225" s="30">
        <v>1</v>
      </c>
      <c r="G225" s="31" t="s">
        <v>355</v>
      </c>
      <c r="H225" s="31" t="s">
        <v>353</v>
      </c>
      <c r="I225" s="25"/>
      <c r="J225" s="46" t="e">
        <f>Table1[[#This Row],[B]]</f>
        <v>#VALUE!</v>
      </c>
      <c r="K225" s="46" t="e">
        <f>Table1[[#This Row],[BE]]</f>
        <v>#VALUE!</v>
      </c>
      <c r="L225" s="46" t="e">
        <f>Table1[[#This Row],[G]]</f>
        <v>#VALUE!</v>
      </c>
      <c r="M225" s="46" t="e">
        <f>Table1[[#This Row],[J]]</f>
        <v>#VALUE!</v>
      </c>
      <c r="N225" s="195" t="e">
        <f>Table1[[#This Row],[N]]</f>
        <v>#VALUE!</v>
      </c>
      <c r="O225" s="46" t="e">
        <f>Table1[[#This Row],[R]]</f>
        <v>#VALUE!</v>
      </c>
      <c r="P225" s="46" t="e">
        <f>Table1[[#This Row],[V]]</f>
        <v>#VALUE!</v>
      </c>
      <c r="Q225" s="46" t="e">
        <f>Table1[[#This Row],[VJ]]</f>
        <v>#VALUE!</v>
      </c>
      <c r="R225" s="46" t="e">
        <f>Table1[[#This Row],[RN]]</f>
        <v>#VALUE!</v>
      </c>
      <c r="S225" s="46" t="e">
        <f>Table1[[#This Row],[Blank]]</f>
        <v>#VALUE!</v>
      </c>
      <c r="T225" s="106" t="e">
        <f>SUM(Table14[[#This Row],[B]:[Blank]])</f>
        <v>#VALUE!</v>
      </c>
      <c r="U225" s="119">
        <v>0.19</v>
      </c>
      <c r="V225" s="120" t="e">
        <f t="shared" si="8"/>
        <v>#VALUE!</v>
      </c>
      <c r="W225" s="133"/>
      <c r="X225" s="133" t="e">
        <f>Table14[[#This Row],[Coil Size]]*Table14[[#This Row],[D10]]/1000*VLOOKUP(Table14[[#This Row],[Navision Code]],'TABULAR PRICE LIST'!A:L,11,FALSE)</f>
        <v>#VALUE!</v>
      </c>
      <c r="Y225" s="133">
        <f>IFERROR(Table14[[#This Row],[Coil Size]]*Table14[[#This Row],[D10]]/1000*VLOOKUP(Table14[[#This Row],[Navision Code]],'TABULAR PRICE LIST'!A:L,10,FALSE),0)</f>
        <v>0</v>
      </c>
      <c r="Z225" s="133" t="e">
        <f>VLOOKUP(C225,'TABULAR PRICE LIST'!$A:$L,12,FALSE)</f>
        <v>#N/A</v>
      </c>
      <c r="AA225" s="133" t="e">
        <f>Table14[[#This Row],[Coil Size]]*Table14[[#This Row],[D10]]/1000</f>
        <v>#VALUE!</v>
      </c>
      <c r="AB225" s="133" t="e">
        <f>Table14[[#This Row],[Weight/KYD]]*Table14[[#This Row],[D10]]</f>
        <v>#VALUE!</v>
      </c>
      <c r="AC225" s="177"/>
      <c r="AD225" s="133">
        <v>1</v>
      </c>
    </row>
    <row r="226" spans="1:30" ht="18.5" x14ac:dyDescent="0.45">
      <c r="A226" s="189" t="s">
        <v>34</v>
      </c>
      <c r="B226" s="204">
        <f t="shared" si="6"/>
        <v>213</v>
      </c>
      <c r="C226" s="32" t="s">
        <v>464</v>
      </c>
      <c r="D226" s="32" t="s">
        <v>211</v>
      </c>
      <c r="E226" s="32" t="s">
        <v>19</v>
      </c>
      <c r="F226" s="32">
        <v>1</v>
      </c>
      <c r="G226" s="33" t="s">
        <v>129</v>
      </c>
      <c r="H226" s="33" t="s">
        <v>445</v>
      </c>
      <c r="I226" s="34"/>
      <c r="J226" s="42" t="e">
        <f>Table1[[#This Row],[B]]</f>
        <v>#VALUE!</v>
      </c>
      <c r="K226" s="42" t="e">
        <f>Table1[[#This Row],[BE]]</f>
        <v>#VALUE!</v>
      </c>
      <c r="L226" s="42" t="e">
        <f>Table1[[#This Row],[G]]</f>
        <v>#VALUE!</v>
      </c>
      <c r="M226" s="42" t="e">
        <f>Table1[[#This Row],[J]]</f>
        <v>#VALUE!</v>
      </c>
      <c r="N226" s="190" t="e">
        <f>Table1[[#This Row],[N]]</f>
        <v>#VALUE!</v>
      </c>
      <c r="O226" s="42" t="e">
        <f>Table1[[#This Row],[R]]</f>
        <v>#VALUE!</v>
      </c>
      <c r="P226" s="42" t="e">
        <f>Table1[[#This Row],[V]]</f>
        <v>#VALUE!</v>
      </c>
      <c r="Q226" s="42" t="e">
        <f>Table1[[#This Row],[VJ]]</f>
        <v>#VALUE!</v>
      </c>
      <c r="R226" s="42" t="e">
        <f>Table1[[#This Row],[RN]]</f>
        <v>#VALUE!</v>
      </c>
      <c r="S226" s="42" t="e">
        <f>Table1[[#This Row],[Blank]]</f>
        <v>#VALUE!</v>
      </c>
      <c r="T226" s="107" t="e">
        <f>SUM(Table14[[#This Row],[B]:[Blank]])</f>
        <v>#VALUE!</v>
      </c>
      <c r="U226" s="125">
        <v>0.245</v>
      </c>
      <c r="V226" s="126" t="e">
        <f t="shared" si="8"/>
        <v>#VALUE!</v>
      </c>
      <c r="W226" s="127"/>
      <c r="X226" s="127" t="e">
        <f>Table14[[#This Row],[Coil Size]]*Table14[[#This Row],[D10]]/1000*VLOOKUP(Table14[[#This Row],[Navision Code]],'TABULAR PRICE LIST'!A:L,11,FALSE)</f>
        <v>#VALUE!</v>
      </c>
      <c r="Y226" s="127">
        <f>IFERROR(Table14[[#This Row],[Coil Size]]*Table14[[#This Row],[D10]]/1000*VLOOKUP(Table14[[#This Row],[Navision Code]],'TABULAR PRICE LIST'!A:L,10,FALSE),0)</f>
        <v>0</v>
      </c>
      <c r="Z226" s="127">
        <f>VLOOKUP(C226,'TABULAR PRICE LIST'!$A:$L,12,FALSE)</f>
        <v>2624</v>
      </c>
      <c r="AA226" s="127" t="e">
        <f>Table14[[#This Row],[Coil Size]]*Table14[[#This Row],[D10]]/1000</f>
        <v>#VALUE!</v>
      </c>
      <c r="AB226" s="127" t="e">
        <f>Table14[[#This Row],[Weight/KYD]]*Table14[[#This Row],[D10]]</f>
        <v>#VALUE!</v>
      </c>
      <c r="AC226" s="177"/>
      <c r="AD226" s="127">
        <v>1</v>
      </c>
    </row>
    <row r="227" spans="1:30" ht="18.5" x14ac:dyDescent="0.45">
      <c r="A227" s="189" t="s">
        <v>34</v>
      </c>
      <c r="B227" s="18">
        <f t="shared" si="6"/>
        <v>214</v>
      </c>
      <c r="C227" s="21" t="s">
        <v>465</v>
      </c>
      <c r="D227" s="21" t="s">
        <v>211</v>
      </c>
      <c r="E227" s="21" t="s">
        <v>19</v>
      </c>
      <c r="F227" s="21">
        <v>1</v>
      </c>
      <c r="G227" s="22" t="s">
        <v>129</v>
      </c>
      <c r="H227" s="22" t="s">
        <v>446</v>
      </c>
      <c r="I227" s="20"/>
      <c r="J227" s="44" t="e">
        <f>Table1[[#This Row],[B]]</f>
        <v>#VALUE!</v>
      </c>
      <c r="K227" s="44" t="e">
        <f>Table1[[#This Row],[BE]]</f>
        <v>#VALUE!</v>
      </c>
      <c r="L227" s="44" t="e">
        <f>Table1[[#This Row],[G]]</f>
        <v>#VALUE!</v>
      </c>
      <c r="M227" s="44" t="e">
        <f>Table1[[#This Row],[J]]</f>
        <v>#VALUE!</v>
      </c>
      <c r="N227" s="193" t="e">
        <f>Table1[[#This Row],[N]]</f>
        <v>#VALUE!</v>
      </c>
      <c r="O227" s="44" t="e">
        <f>Table1[[#This Row],[R]]</f>
        <v>#VALUE!</v>
      </c>
      <c r="P227" s="44" t="e">
        <f>Table1[[#This Row],[V]]</f>
        <v>#VALUE!</v>
      </c>
      <c r="Q227" s="44" t="e">
        <f>Table1[[#This Row],[VJ]]</f>
        <v>#VALUE!</v>
      </c>
      <c r="R227" s="44" t="e">
        <f>Table1[[#This Row],[RN]]</f>
        <v>#VALUE!</v>
      </c>
      <c r="S227" s="44" t="e">
        <f>Table1[[#This Row],[Blank]]</f>
        <v>#VALUE!</v>
      </c>
      <c r="T227" s="105" t="e">
        <f>SUM(Table14[[#This Row],[B]:[Blank]])</f>
        <v>#VALUE!</v>
      </c>
      <c r="U227" s="116">
        <v>0.25</v>
      </c>
      <c r="V227" s="118" t="e">
        <f t="shared" si="8"/>
        <v>#VALUE!</v>
      </c>
      <c r="W227" s="121"/>
      <c r="X227" s="121" t="e">
        <f>Table14[[#This Row],[Coil Size]]*Table14[[#This Row],[D10]]/1000*VLOOKUP(Table14[[#This Row],[Navision Code]],'TABULAR PRICE LIST'!A:L,11,FALSE)</f>
        <v>#VALUE!</v>
      </c>
      <c r="Y227" s="121">
        <f>IFERROR(Table14[[#This Row],[Coil Size]]*Table14[[#This Row],[D10]]/1000*VLOOKUP(Table14[[#This Row],[Navision Code]],'TABULAR PRICE LIST'!A:L,10,FALSE),0)</f>
        <v>0</v>
      </c>
      <c r="Z227" s="121">
        <f>VLOOKUP(C227,'TABULAR PRICE LIST'!$A:$L,12,FALSE)</f>
        <v>3258</v>
      </c>
      <c r="AA227" s="121" t="e">
        <f>Table14[[#This Row],[Coil Size]]*Table14[[#This Row],[D10]]/1000</f>
        <v>#VALUE!</v>
      </c>
      <c r="AB227" s="121" t="e">
        <f>Table14[[#This Row],[Weight/KYD]]*Table14[[#This Row],[D10]]</f>
        <v>#VALUE!</v>
      </c>
      <c r="AC227" s="177"/>
      <c r="AD227" s="121">
        <v>1</v>
      </c>
    </row>
    <row r="228" spans="1:30" ht="18.5" x14ac:dyDescent="0.45">
      <c r="A228" s="189" t="s">
        <v>34</v>
      </c>
      <c r="B228" s="18">
        <f t="shared" si="6"/>
        <v>215</v>
      </c>
      <c r="C228" s="21" t="s">
        <v>466</v>
      </c>
      <c r="D228" s="21" t="s">
        <v>211</v>
      </c>
      <c r="E228" s="21" t="s">
        <v>19</v>
      </c>
      <c r="F228" s="21">
        <v>1</v>
      </c>
      <c r="G228" s="22" t="s">
        <v>129</v>
      </c>
      <c r="H228" s="22" t="s">
        <v>447</v>
      </c>
      <c r="I228" s="20"/>
      <c r="J228" s="44" t="e">
        <f>Table1[[#This Row],[B]]</f>
        <v>#VALUE!</v>
      </c>
      <c r="K228" s="44" t="e">
        <f>Table1[[#This Row],[BE]]</f>
        <v>#VALUE!</v>
      </c>
      <c r="L228" s="44" t="e">
        <f>Table1[[#This Row],[G]]</f>
        <v>#VALUE!</v>
      </c>
      <c r="M228" s="44" t="e">
        <f>Table1[[#This Row],[J]]</f>
        <v>#VALUE!</v>
      </c>
      <c r="N228" s="193" t="e">
        <f>Table1[[#This Row],[N]]</f>
        <v>#VALUE!</v>
      </c>
      <c r="O228" s="44" t="e">
        <f>Table1[[#This Row],[R]]</f>
        <v>#VALUE!</v>
      </c>
      <c r="P228" s="44" t="e">
        <f>Table1[[#This Row],[V]]</f>
        <v>#VALUE!</v>
      </c>
      <c r="Q228" s="44" t="e">
        <f>Table1[[#This Row],[VJ]]</f>
        <v>#VALUE!</v>
      </c>
      <c r="R228" s="44" t="e">
        <f>Table1[[#This Row],[RN]]</f>
        <v>#VALUE!</v>
      </c>
      <c r="S228" s="44" t="e">
        <f>Table1[[#This Row],[Blank]]</f>
        <v>#VALUE!</v>
      </c>
      <c r="T228" s="105" t="e">
        <f>SUM(Table14[[#This Row],[B]:[Blank]])</f>
        <v>#VALUE!</v>
      </c>
      <c r="U228" s="116">
        <v>0.36699999999999999</v>
      </c>
      <c r="V228" s="118" t="e">
        <f t="shared" si="8"/>
        <v>#VALUE!</v>
      </c>
      <c r="W228" s="121"/>
      <c r="X228" s="121" t="e">
        <f>Table14[[#This Row],[Coil Size]]*Table14[[#This Row],[D10]]/1000*VLOOKUP(Table14[[#This Row],[Navision Code]],'TABULAR PRICE LIST'!A:L,11,FALSE)</f>
        <v>#VALUE!</v>
      </c>
      <c r="Y228" s="121">
        <f>IFERROR(Table14[[#This Row],[Coil Size]]*Table14[[#This Row],[D10]]/1000*VLOOKUP(Table14[[#This Row],[Navision Code]],'TABULAR PRICE LIST'!A:L,10,FALSE),0)</f>
        <v>0</v>
      </c>
      <c r="Z228" s="121">
        <f>VLOOKUP(C228,'TABULAR PRICE LIST'!$A:$L,12,FALSE)</f>
        <v>4803</v>
      </c>
      <c r="AA228" s="121" t="e">
        <f>Table14[[#This Row],[Coil Size]]*Table14[[#This Row],[D10]]/1000</f>
        <v>#VALUE!</v>
      </c>
      <c r="AB228" s="121" t="e">
        <f>Table14[[#This Row],[Weight/KYD]]*Table14[[#This Row],[D10]]</f>
        <v>#VALUE!</v>
      </c>
      <c r="AC228" s="177"/>
      <c r="AD228" s="121">
        <v>1</v>
      </c>
    </row>
    <row r="229" spans="1:30" ht="18.5" x14ac:dyDescent="0.45">
      <c r="A229" s="189" t="s">
        <v>34</v>
      </c>
      <c r="B229" s="18">
        <f t="shared" si="6"/>
        <v>216</v>
      </c>
      <c r="C229" s="21" t="s">
        <v>467</v>
      </c>
      <c r="D229" s="21" t="s">
        <v>211</v>
      </c>
      <c r="E229" s="21" t="s">
        <v>19</v>
      </c>
      <c r="F229" s="21">
        <v>1</v>
      </c>
      <c r="G229" s="22" t="s">
        <v>129</v>
      </c>
      <c r="H229" s="22" t="s">
        <v>448</v>
      </c>
      <c r="I229" s="20"/>
      <c r="J229" s="44" t="e">
        <f>Table1[[#This Row],[B]]</f>
        <v>#VALUE!</v>
      </c>
      <c r="K229" s="44" t="e">
        <f>Table1[[#This Row],[BE]]</f>
        <v>#VALUE!</v>
      </c>
      <c r="L229" s="44" t="e">
        <f>Table1[[#This Row],[G]]</f>
        <v>#VALUE!</v>
      </c>
      <c r="M229" s="44" t="e">
        <f>Table1[[#This Row],[J]]</f>
        <v>#VALUE!</v>
      </c>
      <c r="N229" s="193" t="e">
        <f>Table1[[#This Row],[N]]</f>
        <v>#VALUE!</v>
      </c>
      <c r="O229" s="44" t="e">
        <f>Table1[[#This Row],[R]]</f>
        <v>#VALUE!</v>
      </c>
      <c r="P229" s="44" t="e">
        <f>Table1[[#This Row],[V]]</f>
        <v>#VALUE!</v>
      </c>
      <c r="Q229" s="44" t="e">
        <f>Table1[[#This Row],[VJ]]</f>
        <v>#VALUE!</v>
      </c>
      <c r="R229" s="44" t="e">
        <f>Table1[[#This Row],[RN]]</f>
        <v>#VALUE!</v>
      </c>
      <c r="S229" s="44" t="e">
        <f>Table1[[#This Row],[Blank]]</f>
        <v>#VALUE!</v>
      </c>
      <c r="T229" s="105" t="e">
        <f>SUM(Table14[[#This Row],[B]:[Blank]])</f>
        <v>#VALUE!</v>
      </c>
      <c r="U229" s="116">
        <v>0.47299999999999998</v>
      </c>
      <c r="V229" s="118" t="e">
        <f t="shared" si="8"/>
        <v>#VALUE!</v>
      </c>
      <c r="W229" s="121"/>
      <c r="X229" s="121" t="e">
        <f>Table14[[#This Row],[Coil Size]]*Table14[[#This Row],[D10]]/1000*VLOOKUP(Table14[[#This Row],[Navision Code]],'TABULAR PRICE LIST'!A:L,11,FALSE)</f>
        <v>#VALUE!</v>
      </c>
      <c r="Y229" s="121">
        <f>IFERROR(Table14[[#This Row],[Coil Size]]*Table14[[#This Row],[D10]]/1000*VLOOKUP(Table14[[#This Row],[Navision Code]],'TABULAR PRICE LIST'!A:L,10,FALSE),0)</f>
        <v>0</v>
      </c>
      <c r="Z229" s="121" t="e">
        <f>VLOOKUP(C229,'TABULAR PRICE LIST'!$A:$L,12,FALSE)</f>
        <v>#N/A</v>
      </c>
      <c r="AA229" s="121" t="e">
        <f>Table14[[#This Row],[Coil Size]]*Table14[[#This Row],[D10]]/1000</f>
        <v>#VALUE!</v>
      </c>
      <c r="AB229" s="121" t="e">
        <f>Table14[[#This Row],[Weight/KYD]]*Table14[[#This Row],[D10]]</f>
        <v>#VALUE!</v>
      </c>
      <c r="AC229" s="177"/>
      <c r="AD229" s="121">
        <v>1</v>
      </c>
    </row>
    <row r="230" spans="1:30" ht="18.5" x14ac:dyDescent="0.45">
      <c r="A230" s="189" t="s">
        <v>34</v>
      </c>
      <c r="B230" s="18">
        <f t="shared" si="6"/>
        <v>217</v>
      </c>
      <c r="C230" s="21" t="s">
        <v>468</v>
      </c>
      <c r="D230" s="21" t="s">
        <v>211</v>
      </c>
      <c r="E230" s="21" t="s">
        <v>19</v>
      </c>
      <c r="F230" s="21">
        <v>1</v>
      </c>
      <c r="G230" s="22" t="s">
        <v>129</v>
      </c>
      <c r="H230" s="22" t="s">
        <v>449</v>
      </c>
      <c r="I230" s="20"/>
      <c r="J230" s="44" t="e">
        <f>Table1[[#This Row],[B]]</f>
        <v>#VALUE!</v>
      </c>
      <c r="K230" s="44" t="e">
        <f>Table1[[#This Row],[BE]]</f>
        <v>#VALUE!</v>
      </c>
      <c r="L230" s="44" t="e">
        <f>Table1[[#This Row],[G]]</f>
        <v>#VALUE!</v>
      </c>
      <c r="M230" s="44" t="e">
        <f>Table1[[#This Row],[J]]</f>
        <v>#VALUE!</v>
      </c>
      <c r="N230" s="193" t="e">
        <f>Table1[[#This Row],[N]]</f>
        <v>#VALUE!</v>
      </c>
      <c r="O230" s="44" t="e">
        <f>Table1[[#This Row],[R]]</f>
        <v>#VALUE!</v>
      </c>
      <c r="P230" s="44" t="e">
        <f>Table1[[#This Row],[V]]</f>
        <v>#VALUE!</v>
      </c>
      <c r="Q230" s="44" t="e">
        <f>Table1[[#This Row],[VJ]]</f>
        <v>#VALUE!</v>
      </c>
      <c r="R230" s="44" t="e">
        <f>Table1[[#This Row],[RN]]</f>
        <v>#VALUE!</v>
      </c>
      <c r="S230" s="44" t="e">
        <f>Table1[[#This Row],[Blank]]</f>
        <v>#VALUE!</v>
      </c>
      <c r="T230" s="105" t="e">
        <f>SUM(Table14[[#This Row],[B]:[Blank]])</f>
        <v>#VALUE!</v>
      </c>
      <c r="U230" s="116">
        <v>0.71199999999999997</v>
      </c>
      <c r="V230" s="118" t="e">
        <f t="shared" si="8"/>
        <v>#VALUE!</v>
      </c>
      <c r="W230" s="121"/>
      <c r="X230" s="121" t="e">
        <f>Table14[[#This Row],[Coil Size]]*Table14[[#This Row],[D10]]/1000*VLOOKUP(Table14[[#This Row],[Navision Code]],'TABULAR PRICE LIST'!A:L,11,FALSE)</f>
        <v>#VALUE!</v>
      </c>
      <c r="Y230" s="121">
        <f>IFERROR(Table14[[#This Row],[Coil Size]]*Table14[[#This Row],[D10]]/1000*VLOOKUP(Table14[[#This Row],[Navision Code]],'TABULAR PRICE LIST'!A:L,10,FALSE),0)</f>
        <v>0</v>
      </c>
      <c r="Z230" s="121" t="e">
        <f>VLOOKUP(C230,'TABULAR PRICE LIST'!$A:$L,12,FALSE)</f>
        <v>#N/A</v>
      </c>
      <c r="AA230" s="121" t="e">
        <f>Table14[[#This Row],[Coil Size]]*Table14[[#This Row],[D10]]/1000</f>
        <v>#VALUE!</v>
      </c>
      <c r="AB230" s="121" t="e">
        <f>Table14[[#This Row],[Weight/KYD]]*Table14[[#This Row],[D10]]</f>
        <v>#VALUE!</v>
      </c>
      <c r="AC230" s="177"/>
      <c r="AD230" s="121">
        <v>1</v>
      </c>
    </row>
    <row r="231" spans="1:30" ht="18.5" x14ac:dyDescent="0.45">
      <c r="A231" s="189" t="s">
        <v>34</v>
      </c>
      <c r="B231" s="18">
        <f t="shared" si="6"/>
        <v>218</v>
      </c>
      <c r="C231" s="211" t="s">
        <v>531</v>
      </c>
      <c r="D231" s="211" t="s">
        <v>211</v>
      </c>
      <c r="E231" s="211" t="s">
        <v>19</v>
      </c>
      <c r="F231" s="211">
        <v>1</v>
      </c>
      <c r="G231" s="212" t="s">
        <v>545</v>
      </c>
      <c r="H231" s="212" t="s">
        <v>538</v>
      </c>
      <c r="I231" s="213"/>
      <c r="J231" s="214" t="e">
        <f>Table1[[#This Row],[B]]</f>
        <v>#VALUE!</v>
      </c>
      <c r="K231" s="214" t="e">
        <f>Table1[[#This Row],[BE]]</f>
        <v>#VALUE!</v>
      </c>
      <c r="L231" s="214" t="e">
        <f>Table1[[#This Row],[G]]</f>
        <v>#VALUE!</v>
      </c>
      <c r="M231" s="214" t="e">
        <f>Table1[[#This Row],[J]]</f>
        <v>#VALUE!</v>
      </c>
      <c r="N231" s="214" t="e">
        <f>Table1[[#This Row],[N]]</f>
        <v>#VALUE!</v>
      </c>
      <c r="O231" s="214"/>
      <c r="P231" s="214" t="e">
        <f>Table1[[#This Row],[V]]</f>
        <v>#VALUE!</v>
      </c>
      <c r="Q231" s="214" t="e">
        <f>Table1[[#This Row],[VJ]]</f>
        <v>#VALUE!</v>
      </c>
      <c r="R231" s="214" t="e">
        <f>Table1[[#This Row],[RN]]</f>
        <v>#VALUE!</v>
      </c>
      <c r="S231" s="214" t="e">
        <f>Table1[[#This Row],[Blank]]</f>
        <v>#VALUE!</v>
      </c>
      <c r="T231" s="215" t="e">
        <f>SUM(Table14[[#This Row],[B]:[Blank]])</f>
        <v>#VALUE!</v>
      </c>
      <c r="U231" s="216"/>
      <c r="V231" s="217" t="e">
        <f t="shared" ref="V231:V232" si="9">U231*T231</f>
        <v>#VALUE!</v>
      </c>
      <c r="W231" s="218"/>
      <c r="X231" s="121" t="e">
        <f>Table14[[#This Row],[Coil Size]]*Table14[[#This Row],[D10]]/1000*VLOOKUP(Table14[[#This Row],[Navision Code]],'TABULAR PRICE LIST'!A:L,11,FALSE)</f>
        <v>#VALUE!</v>
      </c>
      <c r="Y231" s="218">
        <f>IFERROR(Table14[[#This Row],[Coil Size]]*Table14[[#This Row],[D10]]/1000*VLOOKUP(Table14[[#This Row],[Navision Code]],'TABULAR PRICE LIST'!A:L,10,FALSE),0)</f>
        <v>0</v>
      </c>
      <c r="Z231" s="218" t="e">
        <f>VLOOKUP(C231,'TABULAR PRICE LIST'!$A:$L,12,FALSE)</f>
        <v>#N/A</v>
      </c>
      <c r="AA231" s="218" t="e">
        <f>Table14[[#This Row],[Coil Size]]*Table14[[#This Row],[D10]]/1000</f>
        <v>#VALUE!</v>
      </c>
      <c r="AB231" s="218" t="e">
        <f>Table14[[#This Row],[Weight/KYD]]*Table14[[#This Row],[D10]]</f>
        <v>#VALUE!</v>
      </c>
      <c r="AC231" s="177"/>
      <c r="AD231" s="121"/>
    </row>
    <row r="232" spans="1:30" ht="18.5" x14ac:dyDescent="0.45">
      <c r="A232" s="189" t="s">
        <v>34</v>
      </c>
      <c r="B232" s="18">
        <f t="shared" si="6"/>
        <v>219</v>
      </c>
      <c r="C232" s="211" t="s">
        <v>532</v>
      </c>
      <c r="D232" s="211" t="s">
        <v>211</v>
      </c>
      <c r="E232" s="211" t="s">
        <v>19</v>
      </c>
      <c r="F232" s="211">
        <v>1</v>
      </c>
      <c r="G232" s="212" t="s">
        <v>545</v>
      </c>
      <c r="H232" s="212" t="s">
        <v>539</v>
      </c>
      <c r="I232" s="213"/>
      <c r="J232" s="214" t="e">
        <f>Table1[[#This Row],[B]]</f>
        <v>#VALUE!</v>
      </c>
      <c r="K232" s="214" t="e">
        <f>Table1[[#This Row],[BE]]</f>
        <v>#VALUE!</v>
      </c>
      <c r="L232" s="214" t="e">
        <f>Table1[[#This Row],[G]]</f>
        <v>#VALUE!</v>
      </c>
      <c r="M232" s="214" t="e">
        <f>Table1[[#This Row],[J]]</f>
        <v>#VALUE!</v>
      </c>
      <c r="N232" s="214" t="e">
        <f>Table1[[#This Row],[N]]</f>
        <v>#VALUE!</v>
      </c>
      <c r="O232" s="214" t="e">
        <f>Table1[[#This Row],[R]]</f>
        <v>#VALUE!</v>
      </c>
      <c r="P232" s="214" t="e">
        <f>Table1[[#This Row],[V]]</f>
        <v>#VALUE!</v>
      </c>
      <c r="Q232" s="214" t="e">
        <f>Table1[[#This Row],[VJ]]</f>
        <v>#VALUE!</v>
      </c>
      <c r="R232" s="214" t="e">
        <f>Table1[[#This Row],[RN]]</f>
        <v>#VALUE!</v>
      </c>
      <c r="S232" s="214" t="e">
        <f>Table1[[#This Row],[Blank]]</f>
        <v>#VALUE!</v>
      </c>
      <c r="T232" s="215" t="e">
        <f>SUM(Table14[[#This Row],[B]:[Blank]])</f>
        <v>#VALUE!</v>
      </c>
      <c r="U232" s="216"/>
      <c r="V232" s="217" t="e">
        <f t="shared" si="9"/>
        <v>#VALUE!</v>
      </c>
      <c r="W232" s="218"/>
      <c r="X232" s="218" t="e">
        <f>Table14[[#This Row],[Coil Size]]*Table14[[#This Row],[D10]]/1000*VLOOKUP(Table14[[#This Row],[Navision Code]],'TABULAR PRICE LIST'!A:L,11,FALSE)</f>
        <v>#VALUE!</v>
      </c>
      <c r="Y232" s="218">
        <f>IFERROR(Table14[[#This Row],[Coil Size]]*Table14[[#This Row],[D10]]/1000*VLOOKUP(Table14[[#This Row],[Navision Code]],'TABULAR PRICE LIST'!A:L,10,FALSE),0)</f>
        <v>0</v>
      </c>
      <c r="Z232" s="218" t="e">
        <f>VLOOKUP(C232,'TABULAR PRICE LIST'!$A:$L,12,FALSE)</f>
        <v>#N/A</v>
      </c>
      <c r="AA232" s="218" t="e">
        <f>Table14[[#This Row],[Coil Size]]*Table14[[#This Row],[D10]]/1000</f>
        <v>#VALUE!</v>
      </c>
      <c r="AB232" s="218" t="e">
        <f>Table14[[#This Row],[Weight/KYD]]*Table14[[#This Row],[D10]]</f>
        <v>#VALUE!</v>
      </c>
      <c r="AC232" s="177"/>
      <c r="AD232" s="121"/>
    </row>
    <row r="233" spans="1:30" ht="18.5" x14ac:dyDescent="0.45">
      <c r="A233" s="189" t="s">
        <v>34</v>
      </c>
      <c r="B233" s="18">
        <f t="shared" si="6"/>
        <v>220</v>
      </c>
      <c r="C233" s="211" t="s">
        <v>533</v>
      </c>
      <c r="D233" s="211" t="s">
        <v>211</v>
      </c>
      <c r="E233" s="211" t="s">
        <v>19</v>
      </c>
      <c r="F233" s="211">
        <v>1</v>
      </c>
      <c r="G233" s="212" t="s">
        <v>545</v>
      </c>
      <c r="H233" s="212" t="s">
        <v>540</v>
      </c>
      <c r="I233" s="213"/>
      <c r="J233" s="214" t="e">
        <f>Table1[[#This Row],[B]]</f>
        <v>#VALUE!</v>
      </c>
      <c r="K233" s="214" t="e">
        <f>Table1[[#This Row],[BE]]</f>
        <v>#VALUE!</v>
      </c>
      <c r="L233" s="214" t="e">
        <f>Table1[[#This Row],[G]]</f>
        <v>#VALUE!</v>
      </c>
      <c r="M233" s="214" t="e">
        <f>Table1[[#This Row],[J]]</f>
        <v>#VALUE!</v>
      </c>
      <c r="N233" s="214" t="e">
        <f>Table1[[#This Row],[N]]</f>
        <v>#VALUE!</v>
      </c>
      <c r="O233" s="214" t="e">
        <f>Table1[[#This Row],[R]]</f>
        <v>#VALUE!</v>
      </c>
      <c r="P233" s="214" t="e">
        <f>Table1[[#This Row],[V]]</f>
        <v>#VALUE!</v>
      </c>
      <c r="Q233" s="214" t="e">
        <f>Table1[[#This Row],[VJ]]</f>
        <v>#VALUE!</v>
      </c>
      <c r="R233" s="214" t="e">
        <f>Table1[[#This Row],[RN]]</f>
        <v>#VALUE!</v>
      </c>
      <c r="S233" s="214" t="e">
        <f>Table1[[#This Row],[Blank]]</f>
        <v>#VALUE!</v>
      </c>
      <c r="T233" s="215" t="e">
        <f>SUM(Table14[[#This Row],[B]:[Blank]])</f>
        <v>#VALUE!</v>
      </c>
      <c r="U233" s="216"/>
      <c r="V233" s="217" t="e">
        <f t="shared" ref="V233:V234" si="10">U233*T233</f>
        <v>#VALUE!</v>
      </c>
      <c r="W233" s="218"/>
      <c r="X233" s="218" t="e">
        <f>Table14[[#This Row],[Coil Size]]*Table14[[#This Row],[D10]]/1000*VLOOKUP(Table14[[#This Row],[Navision Code]],'TABULAR PRICE LIST'!A:L,11,FALSE)</f>
        <v>#VALUE!</v>
      </c>
      <c r="Y233" s="218">
        <f>IFERROR(Table14[[#This Row],[Coil Size]]*Table14[[#This Row],[D10]]/1000*VLOOKUP(Table14[[#This Row],[Navision Code]],'TABULAR PRICE LIST'!A:L,10,FALSE),0)</f>
        <v>0</v>
      </c>
      <c r="Z233" s="218" t="e">
        <f>VLOOKUP(C233,'TABULAR PRICE LIST'!$A:$L,12,FALSE)</f>
        <v>#N/A</v>
      </c>
      <c r="AA233" s="218" t="e">
        <f>Table14[[#This Row],[Coil Size]]*Table14[[#This Row],[D10]]/1000</f>
        <v>#VALUE!</v>
      </c>
      <c r="AB233" s="218" t="e">
        <f>Table14[[#This Row],[Weight/KYD]]*Table14[[#This Row],[D10]]</f>
        <v>#VALUE!</v>
      </c>
      <c r="AC233" s="177"/>
      <c r="AD233" s="121"/>
    </row>
    <row r="234" spans="1:30" ht="18.5" x14ac:dyDescent="0.45">
      <c r="A234" s="189" t="s">
        <v>34</v>
      </c>
      <c r="B234" s="18">
        <f t="shared" si="6"/>
        <v>221</v>
      </c>
      <c r="C234" s="211" t="s">
        <v>534</v>
      </c>
      <c r="D234" s="211" t="s">
        <v>211</v>
      </c>
      <c r="E234" s="211" t="s">
        <v>19</v>
      </c>
      <c r="F234" s="211">
        <v>1</v>
      </c>
      <c r="G234" s="212" t="s">
        <v>545</v>
      </c>
      <c r="H234" s="212" t="s">
        <v>541</v>
      </c>
      <c r="I234" s="213"/>
      <c r="J234" s="214" t="e">
        <f>Table1[[#This Row],[B]]</f>
        <v>#VALUE!</v>
      </c>
      <c r="K234" s="214" t="e">
        <f>Table1[[#This Row],[BE]]</f>
        <v>#VALUE!</v>
      </c>
      <c r="L234" s="214" t="e">
        <f>Table1[[#This Row],[G]]</f>
        <v>#VALUE!</v>
      </c>
      <c r="M234" s="214" t="e">
        <f>Table1[[#This Row],[J]]</f>
        <v>#VALUE!</v>
      </c>
      <c r="N234" s="214" t="e">
        <f>Table1[[#This Row],[N]]</f>
        <v>#VALUE!</v>
      </c>
      <c r="O234" s="214" t="e">
        <f>Table1[[#This Row],[R]]</f>
        <v>#VALUE!</v>
      </c>
      <c r="P234" s="214" t="e">
        <f>Table1[[#This Row],[V]]</f>
        <v>#VALUE!</v>
      </c>
      <c r="Q234" s="214" t="e">
        <f>Table1[[#This Row],[VJ]]</f>
        <v>#VALUE!</v>
      </c>
      <c r="R234" s="214" t="e">
        <f>Table1[[#This Row],[RN]]</f>
        <v>#VALUE!</v>
      </c>
      <c r="S234" s="214" t="e">
        <f>Table1[[#This Row],[Blank]]</f>
        <v>#VALUE!</v>
      </c>
      <c r="T234" s="215" t="e">
        <f>SUM(Table14[[#This Row],[B]:[Blank]])</f>
        <v>#VALUE!</v>
      </c>
      <c r="U234" s="216"/>
      <c r="V234" s="217" t="e">
        <f t="shared" si="10"/>
        <v>#VALUE!</v>
      </c>
      <c r="W234" s="218"/>
      <c r="X234" s="218" t="e">
        <f>Table14[[#This Row],[Coil Size]]*Table14[[#This Row],[D10]]/1000*VLOOKUP(Table14[[#This Row],[Navision Code]],'TABULAR PRICE LIST'!A:L,11,FALSE)</f>
        <v>#VALUE!</v>
      </c>
      <c r="Y234" s="218">
        <f>IFERROR(Table14[[#This Row],[Coil Size]]*Table14[[#This Row],[D10]]/1000*VLOOKUP(Table14[[#This Row],[Navision Code]],'TABULAR PRICE LIST'!A:L,10,FALSE),0)</f>
        <v>0</v>
      </c>
      <c r="Z234" s="218" t="e">
        <f>VLOOKUP(C234,'TABULAR PRICE LIST'!$A:$L,12,FALSE)</f>
        <v>#N/A</v>
      </c>
      <c r="AA234" s="218" t="e">
        <f>Table14[[#This Row],[Coil Size]]*Table14[[#This Row],[D10]]/1000</f>
        <v>#VALUE!</v>
      </c>
      <c r="AB234" s="218" t="e">
        <f>Table14[[#This Row],[Weight/KYD]]*Table14[[#This Row],[D10]]</f>
        <v>#VALUE!</v>
      </c>
      <c r="AC234" s="177"/>
      <c r="AD234" s="121"/>
    </row>
    <row r="235" spans="1:30" ht="18.5" x14ac:dyDescent="0.45">
      <c r="A235" s="189" t="s">
        <v>34</v>
      </c>
      <c r="B235" s="18">
        <f t="shared" si="6"/>
        <v>222</v>
      </c>
      <c r="C235" s="211" t="s">
        <v>821</v>
      </c>
      <c r="D235" s="211" t="s">
        <v>211</v>
      </c>
      <c r="E235" s="211" t="s">
        <v>19</v>
      </c>
      <c r="F235" s="211">
        <v>1</v>
      </c>
      <c r="G235" s="212" t="s">
        <v>76</v>
      </c>
      <c r="H235" s="212" t="s">
        <v>824</v>
      </c>
      <c r="I235" s="213"/>
      <c r="J235" s="214" t="e">
        <f>Table1[[#This Row],[B]]</f>
        <v>#VALUE!</v>
      </c>
      <c r="K235" s="214" t="e">
        <f>Table1[[#This Row],[BE]]</f>
        <v>#VALUE!</v>
      </c>
      <c r="L235" s="214" t="e">
        <f>Table1[[#This Row],[G]]</f>
        <v>#VALUE!</v>
      </c>
      <c r="M235" s="214" t="e">
        <f>Table1[[#This Row],[J]]</f>
        <v>#VALUE!</v>
      </c>
      <c r="N235" s="214" t="e">
        <f>Table1[[#This Row],[N]]</f>
        <v>#VALUE!</v>
      </c>
      <c r="O235" s="214" t="e">
        <f>Table1[[#This Row],[R]]</f>
        <v>#VALUE!</v>
      </c>
      <c r="P235" s="214" t="e">
        <f>Table1[[#This Row],[V]]</f>
        <v>#VALUE!</v>
      </c>
      <c r="Q235" s="214" t="e">
        <f>Table1[[#This Row],[VJ]]</f>
        <v>#VALUE!</v>
      </c>
      <c r="R235" s="214" t="e">
        <f>Table1[[#This Row],[RN]]</f>
        <v>#VALUE!</v>
      </c>
      <c r="S235" s="214" t="e">
        <f>Table1[[#This Row],[Blank]]</f>
        <v>#VALUE!</v>
      </c>
      <c r="T235" s="215" t="e">
        <f>SUM(Table14[[#This Row],[B]:[Blank]])</f>
        <v>#VALUE!</v>
      </c>
      <c r="U235" s="216"/>
      <c r="V235" s="217" t="e">
        <f t="shared" ref="V235:V238" si="11">U235*T235</f>
        <v>#VALUE!</v>
      </c>
      <c r="W235" s="218"/>
      <c r="X235" s="218" t="e">
        <f>Table14[[#This Row],[Coil Size]]*Table14[[#This Row],[D10]]/1000*VLOOKUP(Table14[[#This Row],[Navision Code]],'TABULAR PRICE LIST'!A:L,11,FALSE)</f>
        <v>#VALUE!</v>
      </c>
      <c r="Y235" s="218">
        <f>IFERROR(Table14[[#This Row],[Coil Size]]*Table14[[#This Row],[D10]]/1000*VLOOKUP(Table14[[#This Row],[Navision Code]],'TABULAR PRICE LIST'!A:L,10,FALSE),0)</f>
        <v>0</v>
      </c>
      <c r="Z235" s="218">
        <f>VLOOKUP(C235,'TABULAR PRICE LIST'!$A:$L,12,FALSE)</f>
        <v>750</v>
      </c>
      <c r="AA235" s="218" t="e">
        <f>Table14[[#This Row],[Coil Size]]*Table14[[#This Row],[D10]]/1000</f>
        <v>#VALUE!</v>
      </c>
      <c r="AB235" s="218" t="e">
        <f>Table14[[#This Row],[Weight/KYD]]*Table14[[#This Row],[D10]]</f>
        <v>#VALUE!</v>
      </c>
      <c r="AC235" s="177"/>
      <c r="AD235" s="121"/>
    </row>
    <row r="236" spans="1:30" ht="18.5" x14ac:dyDescent="0.45">
      <c r="A236" s="189" t="s">
        <v>34</v>
      </c>
      <c r="B236" s="18">
        <f t="shared" si="6"/>
        <v>223</v>
      </c>
      <c r="C236" s="211" t="s">
        <v>535</v>
      </c>
      <c r="D236" s="211" t="s">
        <v>211</v>
      </c>
      <c r="E236" s="211" t="s">
        <v>19</v>
      </c>
      <c r="F236" s="211">
        <v>1</v>
      </c>
      <c r="G236" s="212" t="s">
        <v>76</v>
      </c>
      <c r="H236" s="212" t="s">
        <v>542</v>
      </c>
      <c r="I236" s="213"/>
      <c r="J236" s="214" t="e">
        <f>Table1[[#This Row],[B]]</f>
        <v>#VALUE!</v>
      </c>
      <c r="K236" s="214" t="e">
        <f>Table1[[#This Row],[BE]]</f>
        <v>#VALUE!</v>
      </c>
      <c r="L236" s="214" t="e">
        <f>Table1[[#This Row],[G]]</f>
        <v>#VALUE!</v>
      </c>
      <c r="M236" s="214" t="e">
        <f>Table1[[#This Row],[J]]</f>
        <v>#VALUE!</v>
      </c>
      <c r="N236" s="214" t="e">
        <f>Table1[[#This Row],[N]]</f>
        <v>#VALUE!</v>
      </c>
      <c r="O236" s="214" t="e">
        <f>Table1[[#This Row],[R]]</f>
        <v>#VALUE!</v>
      </c>
      <c r="P236" s="214" t="e">
        <f>Table1[[#This Row],[V]]</f>
        <v>#VALUE!</v>
      </c>
      <c r="Q236" s="214" t="e">
        <f>Table1[[#This Row],[VJ]]</f>
        <v>#VALUE!</v>
      </c>
      <c r="R236" s="214" t="e">
        <f>Table1[[#This Row],[RN]]</f>
        <v>#VALUE!</v>
      </c>
      <c r="S236" s="214" t="e">
        <f>Table1[[#This Row],[Blank]]</f>
        <v>#VALUE!</v>
      </c>
      <c r="T236" s="215" t="e">
        <f>SUM(Table14[[#This Row],[B]:[Blank]])</f>
        <v>#VALUE!</v>
      </c>
      <c r="U236" s="216"/>
      <c r="V236" s="217" t="e">
        <f t="shared" si="11"/>
        <v>#VALUE!</v>
      </c>
      <c r="W236" s="218"/>
      <c r="X236" s="218" t="e">
        <f>Table14[[#This Row],[Coil Size]]*Table14[[#This Row],[D10]]/1000*VLOOKUP(Table14[[#This Row],[Navision Code]],'TABULAR PRICE LIST'!A:L,11,FALSE)</f>
        <v>#VALUE!</v>
      </c>
      <c r="Y236" s="218">
        <f>IFERROR(Table14[[#This Row],[Coil Size]]*Table14[[#This Row],[D10]]/1000*VLOOKUP(Table14[[#This Row],[Navision Code]],'TABULAR PRICE LIST'!A:L,10,FALSE),0)</f>
        <v>0</v>
      </c>
      <c r="Z236" s="218" t="e">
        <f>VLOOKUP(C236,'TABULAR PRICE LIST'!$A:$L,12,FALSE)</f>
        <v>#N/A</v>
      </c>
      <c r="AA236" s="218" t="e">
        <f>Table14[[#This Row],[Coil Size]]*Table14[[#This Row],[D10]]/1000</f>
        <v>#VALUE!</v>
      </c>
      <c r="AB236" s="218" t="e">
        <f>Table14[[#This Row],[Weight/KYD]]*Table14[[#This Row],[D10]]</f>
        <v>#VALUE!</v>
      </c>
      <c r="AC236" s="177"/>
      <c r="AD236" s="121"/>
    </row>
    <row r="237" spans="1:30" ht="18.5" x14ac:dyDescent="0.45">
      <c r="A237" s="189" t="s">
        <v>34</v>
      </c>
      <c r="B237" s="18">
        <f t="shared" si="6"/>
        <v>224</v>
      </c>
      <c r="C237" s="211" t="s">
        <v>825</v>
      </c>
      <c r="D237" s="211" t="s">
        <v>211</v>
      </c>
      <c r="E237" s="211" t="s">
        <v>19</v>
      </c>
      <c r="F237" s="211">
        <v>1</v>
      </c>
      <c r="G237" s="212" t="s">
        <v>76</v>
      </c>
      <c r="H237" s="212" t="s">
        <v>627</v>
      </c>
      <c r="I237" s="213"/>
      <c r="J237" s="214" t="e">
        <f>Table1[[#This Row],[B]]</f>
        <v>#VALUE!</v>
      </c>
      <c r="K237" s="214" t="e">
        <f>Table1[[#This Row],[BE]]</f>
        <v>#VALUE!</v>
      </c>
      <c r="L237" s="214" t="e">
        <f>Table1[[#This Row],[G]]</f>
        <v>#VALUE!</v>
      </c>
      <c r="M237" s="214" t="e">
        <f>Table1[[#This Row],[J]]</f>
        <v>#VALUE!</v>
      </c>
      <c r="N237" s="214" t="e">
        <f>Table1[[#This Row],[N]]</f>
        <v>#VALUE!</v>
      </c>
      <c r="O237" s="214" t="e">
        <f>Table1[[#This Row],[R]]</f>
        <v>#VALUE!</v>
      </c>
      <c r="P237" s="214" t="e">
        <f>Table1[[#This Row],[V]]</f>
        <v>#VALUE!</v>
      </c>
      <c r="Q237" s="214" t="e">
        <f>Table1[[#This Row],[VJ]]</f>
        <v>#VALUE!</v>
      </c>
      <c r="R237" s="214" t="e">
        <f>Table1[[#This Row],[RN]]</f>
        <v>#VALUE!</v>
      </c>
      <c r="S237" s="214" t="e">
        <f>Table1[[#This Row],[Blank]]</f>
        <v>#VALUE!</v>
      </c>
      <c r="T237" s="215" t="e">
        <f>SUM(Table14[[#This Row],[B]:[Blank]])</f>
        <v>#VALUE!</v>
      </c>
      <c r="U237" s="216"/>
      <c r="V237" s="217" t="e">
        <f t="shared" si="11"/>
        <v>#VALUE!</v>
      </c>
      <c r="W237" s="218"/>
      <c r="X237" s="218" t="e">
        <f>Table14[[#This Row],[Coil Size]]*Table14[[#This Row],[D10]]/1000*VLOOKUP(Table14[[#This Row],[Navision Code]],'TABULAR PRICE LIST'!A:L,11,FALSE)</f>
        <v>#VALUE!</v>
      </c>
      <c r="Y237" s="218">
        <f>IFERROR(Table14[[#This Row],[Coil Size]]*Table14[[#This Row],[D10]]/1000*VLOOKUP(Table14[[#This Row],[Navision Code]],'TABULAR PRICE LIST'!A:L,10,FALSE),0)</f>
        <v>0</v>
      </c>
      <c r="Z237" s="218">
        <f>VLOOKUP(C237,'TABULAR PRICE LIST'!$A:$L,12,FALSE)</f>
        <v>1901</v>
      </c>
      <c r="AA237" s="218" t="e">
        <f>Table14[[#This Row],[Coil Size]]*Table14[[#This Row],[D10]]/1000</f>
        <v>#VALUE!</v>
      </c>
      <c r="AB237" s="218" t="e">
        <f>Table14[[#This Row],[Weight/KYD]]*Table14[[#This Row],[D10]]</f>
        <v>#VALUE!</v>
      </c>
      <c r="AC237" s="177"/>
      <c r="AD237" s="121"/>
    </row>
    <row r="238" spans="1:30" ht="18.5" x14ac:dyDescent="0.45">
      <c r="A238" s="189" t="s">
        <v>34</v>
      </c>
      <c r="B238" s="18">
        <f t="shared" si="6"/>
        <v>225</v>
      </c>
      <c r="C238" s="211" t="s">
        <v>17</v>
      </c>
      <c r="D238" s="211" t="s">
        <v>211</v>
      </c>
      <c r="E238" s="211" t="s">
        <v>19</v>
      </c>
      <c r="F238" s="211">
        <v>1</v>
      </c>
      <c r="G238" s="212" t="s">
        <v>76</v>
      </c>
      <c r="H238" s="212" t="s">
        <v>546</v>
      </c>
      <c r="I238" s="213"/>
      <c r="J238" s="214" t="e">
        <f>Table1[[#This Row],[B]]</f>
        <v>#VALUE!</v>
      </c>
      <c r="K238" s="214" t="e">
        <f>Table1[[#This Row],[BE]]</f>
        <v>#VALUE!</v>
      </c>
      <c r="L238" s="214" t="e">
        <f>Table1[[#This Row],[G]]</f>
        <v>#VALUE!</v>
      </c>
      <c r="M238" s="214" t="e">
        <f>Table1[[#This Row],[J]]</f>
        <v>#VALUE!</v>
      </c>
      <c r="N238" s="214" t="e">
        <f>Table1[[#This Row],[N]]</f>
        <v>#VALUE!</v>
      </c>
      <c r="O238" s="214" t="e">
        <f>Table1[[#This Row],[R]]</f>
        <v>#VALUE!</v>
      </c>
      <c r="P238" s="214" t="e">
        <f>Table1[[#This Row],[V]]</f>
        <v>#VALUE!</v>
      </c>
      <c r="Q238" s="214"/>
      <c r="R238" s="214" t="e">
        <f>Table1[[#This Row],[RN]]</f>
        <v>#VALUE!</v>
      </c>
      <c r="S238" s="214" t="e">
        <f>Table1[[#This Row],[Blank]]</f>
        <v>#VALUE!</v>
      </c>
      <c r="T238" s="215" t="e">
        <f>SUM(Table14[[#This Row],[B]:[Blank]])</f>
        <v>#VALUE!</v>
      </c>
      <c r="U238" s="216"/>
      <c r="V238" s="217" t="e">
        <f t="shared" si="11"/>
        <v>#VALUE!</v>
      </c>
      <c r="W238" s="218"/>
      <c r="X238" s="218" t="e">
        <f>Table14[[#This Row],[Coil Size]]*Table14[[#This Row],[D10]]/1000*VLOOKUP(Table14[[#This Row],[Navision Code]],'TABULAR PRICE LIST'!A:L,11,FALSE)</f>
        <v>#VALUE!</v>
      </c>
      <c r="Y238" s="218">
        <f>IFERROR(Table14[[#This Row],[Coil Size]]*Table14[[#This Row],[D10]]/1000*VLOOKUP(Table14[[#This Row],[Navision Code]],'TABULAR PRICE LIST'!A:L,10,FALSE),0)</f>
        <v>0</v>
      </c>
      <c r="Z238" s="218">
        <f>VLOOKUP(C238,'TABULAR PRICE LIST'!$A:$L,12,FALSE)</f>
        <v>2753</v>
      </c>
      <c r="AA238" s="218" t="e">
        <f>Table14[[#This Row],[Coil Size]]*Table14[[#This Row],[D10]]/1000</f>
        <v>#VALUE!</v>
      </c>
      <c r="AB238" s="218" t="e">
        <f>Table14[[#This Row],[Weight/KYD]]*Table14[[#This Row],[D10]]</f>
        <v>#VALUE!</v>
      </c>
      <c r="AC238" s="177"/>
      <c r="AD238" s="121"/>
    </row>
    <row r="239" spans="1:30" ht="18.5" x14ac:dyDescent="0.45">
      <c r="A239" s="189" t="s">
        <v>34</v>
      </c>
      <c r="B239" s="18">
        <f t="shared" si="6"/>
        <v>226</v>
      </c>
      <c r="C239" s="211" t="s">
        <v>78</v>
      </c>
      <c r="D239" s="211" t="s">
        <v>211</v>
      </c>
      <c r="E239" s="211" t="s">
        <v>19</v>
      </c>
      <c r="F239" s="211">
        <v>1</v>
      </c>
      <c r="G239" s="212" t="s">
        <v>76</v>
      </c>
      <c r="H239" s="212" t="s">
        <v>544</v>
      </c>
      <c r="I239" s="213"/>
      <c r="J239" s="214" t="e">
        <f>Table1[[#This Row],[B]]</f>
        <v>#VALUE!</v>
      </c>
      <c r="K239" s="214" t="e">
        <f>Table1[[#This Row],[BE]]</f>
        <v>#VALUE!</v>
      </c>
      <c r="L239" s="214" t="e">
        <f>Table1[[#This Row],[G]]</f>
        <v>#VALUE!</v>
      </c>
      <c r="M239" s="214" t="e">
        <f>Table1[[#This Row],[J]]</f>
        <v>#VALUE!</v>
      </c>
      <c r="N239" s="214" t="e">
        <f>Table1[[#This Row],[N]]</f>
        <v>#VALUE!</v>
      </c>
      <c r="O239" s="214" t="e">
        <f>Table1[[#This Row],[R]]</f>
        <v>#VALUE!</v>
      </c>
      <c r="P239" s="214" t="e">
        <f>Table1[[#This Row],[V]]</f>
        <v>#VALUE!</v>
      </c>
      <c r="Q239" s="214" t="e">
        <f>Table1[[#This Row],[VJ]]</f>
        <v>#VALUE!</v>
      </c>
      <c r="R239" s="214" t="e">
        <f>Table1[[#This Row],[RN]]</f>
        <v>#VALUE!</v>
      </c>
      <c r="S239" s="214" t="e">
        <f>Table1[[#This Row],[Blank]]</f>
        <v>#VALUE!</v>
      </c>
      <c r="T239" s="215" t="e">
        <f>SUM(Table14[[#This Row],[B]:[Blank]])</f>
        <v>#VALUE!</v>
      </c>
      <c r="U239" s="216"/>
      <c r="V239" s="217" t="e">
        <f t="shared" ref="V239:V240" si="12">U239*T239</f>
        <v>#VALUE!</v>
      </c>
      <c r="W239" s="218"/>
      <c r="X239" s="218" t="e">
        <f>Table14[[#This Row],[Coil Size]]*Table14[[#This Row],[D10]]/1000*VLOOKUP(Table14[[#This Row],[Navision Code]],'TABULAR PRICE LIST'!A:L,11,FALSE)</f>
        <v>#VALUE!</v>
      </c>
      <c r="Y239" s="218">
        <f>IFERROR(Table14[[#This Row],[Coil Size]]*Table14[[#This Row],[D10]]/1000*VLOOKUP(Table14[[#This Row],[Navision Code]],'TABULAR PRICE LIST'!A:L,10,FALSE),0)</f>
        <v>0</v>
      </c>
      <c r="Z239" s="218">
        <f>VLOOKUP(C239,'TABULAR PRICE LIST'!$A:$L,12,FALSE)</f>
        <v>4266</v>
      </c>
      <c r="AA239" s="218" t="e">
        <f>Table14[[#This Row],[Coil Size]]*Table14[[#This Row],[D10]]/1000</f>
        <v>#VALUE!</v>
      </c>
      <c r="AB239" s="218" t="e">
        <f>Table14[[#This Row],[Weight/KYD]]*Table14[[#This Row],[D10]]</f>
        <v>#VALUE!</v>
      </c>
      <c r="AC239" s="177"/>
      <c r="AD239" s="121"/>
    </row>
    <row r="240" spans="1:30" ht="18.5" x14ac:dyDescent="0.45">
      <c r="A240" s="189" t="s">
        <v>34</v>
      </c>
      <c r="B240" s="18">
        <f t="shared" si="6"/>
        <v>227</v>
      </c>
      <c r="C240" s="211" t="s">
        <v>210</v>
      </c>
      <c r="D240" s="211" t="s">
        <v>211</v>
      </c>
      <c r="E240" s="211" t="s">
        <v>19</v>
      </c>
      <c r="F240" s="211">
        <v>1</v>
      </c>
      <c r="G240" s="212" t="s">
        <v>212</v>
      </c>
      <c r="H240" s="212" t="s">
        <v>547</v>
      </c>
      <c r="I240" s="213"/>
      <c r="J240" s="214" t="e">
        <f>Table1[[#This Row],[B]]</f>
        <v>#VALUE!</v>
      </c>
      <c r="K240" s="214" t="e">
        <f>Table1[[#This Row],[BE]]</f>
        <v>#VALUE!</v>
      </c>
      <c r="L240" s="214" t="e">
        <f>Table1[[#This Row],[G]]</f>
        <v>#VALUE!</v>
      </c>
      <c r="M240" s="214" t="e">
        <f>Table1[[#This Row],[J]]</f>
        <v>#VALUE!</v>
      </c>
      <c r="N240" s="214" t="e">
        <f>Table1[[#This Row],[N]]</f>
        <v>#VALUE!</v>
      </c>
      <c r="O240" s="214" t="e">
        <f>Table1[[#This Row],[R]]</f>
        <v>#VALUE!</v>
      </c>
      <c r="P240" s="214" t="e">
        <f>Table1[[#This Row],[V]]</f>
        <v>#VALUE!</v>
      </c>
      <c r="Q240" s="214" t="e">
        <f>Table1[[#This Row],[VJ]]</f>
        <v>#VALUE!</v>
      </c>
      <c r="R240" s="214" t="e">
        <f>Table1[[#This Row],[RN]]</f>
        <v>#VALUE!</v>
      </c>
      <c r="S240" s="214" t="e">
        <f>Table1[[#This Row],[Blank]]</f>
        <v>#VALUE!</v>
      </c>
      <c r="T240" s="215" t="e">
        <f>SUM(Table14[[#This Row],[B]:[Blank]])</f>
        <v>#VALUE!</v>
      </c>
      <c r="U240" s="216"/>
      <c r="V240" s="217" t="e">
        <f t="shared" si="12"/>
        <v>#VALUE!</v>
      </c>
      <c r="W240" s="218"/>
      <c r="X240" s="218" t="e">
        <f>Table14[[#This Row],[Coil Size]]*Table14[[#This Row],[D10]]/1000*VLOOKUP(Table14[[#This Row],[Navision Code]],'TABULAR PRICE LIST'!A:L,11,FALSE)</f>
        <v>#VALUE!</v>
      </c>
      <c r="Y240" s="218">
        <f>IFERROR(Table14[[#This Row],[Coil Size]]*Table14[[#This Row],[D10]]/1000*VLOOKUP(Table14[[#This Row],[Navision Code]],'TABULAR PRICE LIST'!A:L,10,FALSE),0)</f>
        <v>0</v>
      </c>
      <c r="Z240" s="218">
        <f>VLOOKUP(C240,'TABULAR PRICE LIST'!$A:$L,12,FALSE)</f>
        <v>5914</v>
      </c>
      <c r="AA240" s="218" t="e">
        <f>Table14[[#This Row],[Coil Size]]*Table14[[#This Row],[D10]]/1000</f>
        <v>#VALUE!</v>
      </c>
      <c r="AB240" s="218" t="e">
        <f>Table14[[#This Row],[Weight/KYD]]*Table14[[#This Row],[D10]]</f>
        <v>#VALUE!</v>
      </c>
      <c r="AC240" s="177"/>
      <c r="AD240" s="121"/>
    </row>
    <row r="241" spans="1:30" ht="18.5" x14ac:dyDescent="0.45">
      <c r="A241" s="189" t="s">
        <v>34</v>
      </c>
      <c r="B241" s="18">
        <f t="shared" si="6"/>
        <v>228</v>
      </c>
      <c r="C241" s="211" t="s">
        <v>536</v>
      </c>
      <c r="D241" s="211" t="s">
        <v>211</v>
      </c>
      <c r="E241" s="211" t="s">
        <v>19</v>
      </c>
      <c r="F241" s="211">
        <v>1</v>
      </c>
      <c r="G241" s="212" t="s">
        <v>335</v>
      </c>
      <c r="H241" s="212" t="s">
        <v>548</v>
      </c>
      <c r="I241" s="213"/>
      <c r="J241" s="214" t="e">
        <f>Table1[[#This Row],[B]]</f>
        <v>#VALUE!</v>
      </c>
      <c r="K241" s="214" t="e">
        <f>Table1[[#This Row],[BE]]</f>
        <v>#VALUE!</v>
      </c>
      <c r="L241" s="214" t="e">
        <f>Table1[[#This Row],[G]]</f>
        <v>#VALUE!</v>
      </c>
      <c r="M241" s="214" t="e">
        <f>Table1[[#This Row],[J]]</f>
        <v>#VALUE!</v>
      </c>
      <c r="N241" s="214" t="e">
        <f>Table1[[#This Row],[N]]</f>
        <v>#VALUE!</v>
      </c>
      <c r="O241" s="214" t="e">
        <f>Table1[[#This Row],[R]]</f>
        <v>#VALUE!</v>
      </c>
      <c r="P241" s="214" t="e">
        <f>Table1[[#This Row],[V]]</f>
        <v>#VALUE!</v>
      </c>
      <c r="Q241" s="214" t="e">
        <f>Table1[[#This Row],[VJ]]</f>
        <v>#VALUE!</v>
      </c>
      <c r="R241" s="214" t="e">
        <f>Table1[[#This Row],[RN]]</f>
        <v>#VALUE!</v>
      </c>
      <c r="S241" s="214" t="e">
        <f>Table1[[#This Row],[Blank]]</f>
        <v>#VALUE!</v>
      </c>
      <c r="T241" s="215" t="e">
        <f>SUM(Table14[[#This Row],[B]:[Blank]])</f>
        <v>#VALUE!</v>
      </c>
      <c r="U241" s="216"/>
      <c r="V241" s="217" t="e">
        <f t="shared" ref="V241:V242" si="13">U241*T241</f>
        <v>#VALUE!</v>
      </c>
      <c r="W241" s="218"/>
      <c r="X241" s="218" t="e">
        <f>Table14[[#This Row],[Coil Size]]*Table14[[#This Row],[D10]]/1000*VLOOKUP(Table14[[#This Row],[Navision Code]],'TABULAR PRICE LIST'!A:L,11,FALSE)</f>
        <v>#VALUE!</v>
      </c>
      <c r="Y241" s="218">
        <f>IFERROR(Table14[[#This Row],[Coil Size]]*Table14[[#This Row],[D10]]/1000*VLOOKUP(Table14[[#This Row],[Navision Code]],'TABULAR PRICE LIST'!A:L,10,FALSE),0)</f>
        <v>0</v>
      </c>
      <c r="Z241" s="218">
        <f>VLOOKUP(C241,'TABULAR PRICE LIST'!$A:$L,12,FALSE)</f>
        <v>7219</v>
      </c>
      <c r="AA241" s="218" t="e">
        <f>Table14[[#This Row],[Coil Size]]*Table14[[#This Row],[D10]]/1000</f>
        <v>#VALUE!</v>
      </c>
      <c r="AB241" s="218" t="e">
        <f>Table14[[#This Row],[Weight/KYD]]*Table14[[#This Row],[D10]]</f>
        <v>#VALUE!</v>
      </c>
      <c r="AC241" s="177"/>
      <c r="AD241" s="121"/>
    </row>
    <row r="242" spans="1:30" ht="18.5" x14ac:dyDescent="0.45">
      <c r="A242" s="189" t="s">
        <v>34</v>
      </c>
      <c r="B242" s="18">
        <f t="shared" si="6"/>
        <v>229</v>
      </c>
      <c r="C242" s="211" t="s">
        <v>537</v>
      </c>
      <c r="D242" s="211" t="s">
        <v>211</v>
      </c>
      <c r="E242" s="211" t="s">
        <v>19</v>
      </c>
      <c r="F242" s="211">
        <v>1</v>
      </c>
      <c r="G242" s="212" t="s">
        <v>335</v>
      </c>
      <c r="H242" s="212" t="s">
        <v>549</v>
      </c>
      <c r="I242" s="213"/>
      <c r="J242" s="214" t="e">
        <f>Table1[[#This Row],[B]]</f>
        <v>#VALUE!</v>
      </c>
      <c r="K242" s="214" t="e">
        <f>Table1[[#This Row],[BE]]</f>
        <v>#VALUE!</v>
      </c>
      <c r="L242" s="214" t="e">
        <f>Table1[[#This Row],[G]]</f>
        <v>#VALUE!</v>
      </c>
      <c r="M242" s="214" t="e">
        <f>Table1[[#This Row],[J]]</f>
        <v>#VALUE!</v>
      </c>
      <c r="N242" s="214" t="e">
        <f>Table1[[#This Row],[N]]</f>
        <v>#VALUE!</v>
      </c>
      <c r="O242" s="214" t="e">
        <f>Table1[[#This Row],[R]]</f>
        <v>#VALUE!</v>
      </c>
      <c r="P242" s="214" t="e">
        <f>Table1[[#This Row],[V]]</f>
        <v>#VALUE!</v>
      </c>
      <c r="Q242" s="214" t="e">
        <f>Table1[[#This Row],[VJ]]</f>
        <v>#VALUE!</v>
      </c>
      <c r="R242" s="214" t="e">
        <f>Table1[[#This Row],[RN]]</f>
        <v>#VALUE!</v>
      </c>
      <c r="S242" s="214" t="e">
        <f>Table1[[#This Row],[Blank]]</f>
        <v>#VALUE!</v>
      </c>
      <c r="T242" s="215" t="e">
        <f>SUM(Table14[[#This Row],[B]:[Blank]])</f>
        <v>#VALUE!</v>
      </c>
      <c r="U242" s="216"/>
      <c r="V242" s="217" t="e">
        <f t="shared" si="13"/>
        <v>#VALUE!</v>
      </c>
      <c r="W242" s="218"/>
      <c r="X242" s="218" t="e">
        <f>Table14[[#This Row],[Coil Size]]*Table14[[#This Row],[D10]]/1000*VLOOKUP(Table14[[#This Row],[Navision Code]],'TABULAR PRICE LIST'!A:L,11,FALSE)</f>
        <v>#VALUE!</v>
      </c>
      <c r="Y242" s="218">
        <f>IFERROR(Table14[[#This Row],[Coil Size]]*Table14[[#This Row],[D10]]/1000*VLOOKUP(Table14[[#This Row],[Navision Code]],'TABULAR PRICE LIST'!A:L,10,FALSE),0)</f>
        <v>0</v>
      </c>
      <c r="Z242" s="218">
        <f>VLOOKUP(C242,'TABULAR PRICE LIST'!$A:$L,12,FALSE)</f>
        <v>10196</v>
      </c>
      <c r="AA242" s="218" t="e">
        <f>Table14[[#This Row],[Coil Size]]*Table14[[#This Row],[D10]]/1000</f>
        <v>#VALUE!</v>
      </c>
      <c r="AB242" s="218" t="e">
        <f>Table14[[#This Row],[Weight/KYD]]*Table14[[#This Row],[D10]]</f>
        <v>#VALUE!</v>
      </c>
      <c r="AC242" s="177"/>
      <c r="AD242" s="121"/>
    </row>
    <row r="243" spans="1:30" ht="18.5" x14ac:dyDescent="0.45">
      <c r="A243" s="189" t="s">
        <v>34</v>
      </c>
      <c r="B243" s="18">
        <f t="shared" si="6"/>
        <v>230</v>
      </c>
      <c r="C243" s="222" t="s">
        <v>590</v>
      </c>
      <c r="D243" s="222" t="s">
        <v>211</v>
      </c>
      <c r="E243" s="222" t="s">
        <v>19</v>
      </c>
      <c r="F243" s="222">
        <v>2</v>
      </c>
      <c r="G243" s="223" t="s">
        <v>602</v>
      </c>
      <c r="H243" s="223" t="s">
        <v>596</v>
      </c>
      <c r="I243" s="224"/>
      <c r="J243" s="225" t="e">
        <f>Table1[[#This Row],[B]]</f>
        <v>#VALUE!</v>
      </c>
      <c r="K243" s="225" t="e">
        <f>Table1[[#This Row],[BE]]</f>
        <v>#VALUE!</v>
      </c>
      <c r="L243" s="225" t="e">
        <f>Table1[[#This Row],[G]]</f>
        <v>#VALUE!</v>
      </c>
      <c r="M243" s="225" t="e">
        <f>Table1[[#This Row],[J]]</f>
        <v>#VALUE!</v>
      </c>
      <c r="N243" s="225" t="e">
        <f>Table1[[#This Row],[N]]</f>
        <v>#VALUE!</v>
      </c>
      <c r="O243" s="225" t="e">
        <f>Table1[[#This Row],[R]]</f>
        <v>#VALUE!</v>
      </c>
      <c r="P243" s="225" t="e">
        <f>Table1[[#This Row],[V]]</f>
        <v>#VALUE!</v>
      </c>
      <c r="Q243" s="225" t="e">
        <f>Table1[[#This Row],[VJ]]</f>
        <v>#VALUE!</v>
      </c>
      <c r="R243" s="225" t="e">
        <f>Table1[[#This Row],[RN]]</f>
        <v>#VALUE!</v>
      </c>
      <c r="S243" s="225" t="e">
        <f>Table1[[#This Row],[Blank]]</f>
        <v>#VALUE!</v>
      </c>
      <c r="T243" s="226" t="e">
        <f>SUM(Table14[[#This Row],[B]:[Blank]])</f>
        <v>#VALUE!</v>
      </c>
      <c r="U243" s="227"/>
      <c r="V243" s="228" t="e">
        <f t="shared" ref="V243:V244" si="14">U243*T243</f>
        <v>#VALUE!</v>
      </c>
      <c r="W243" s="229"/>
      <c r="X243" s="229" t="e">
        <f>Table14[[#This Row],[Coil Size]]*Table14[[#This Row],[D10]]/1000*VLOOKUP(Table14[[#This Row],[Navision Code]],'TABULAR PRICE LIST'!A:L,11,FALSE)</f>
        <v>#VALUE!</v>
      </c>
      <c r="Y243" s="229">
        <f>IFERROR(Table14[[#This Row],[Coil Size]]*Table14[[#This Row],[D10]]/1000*VLOOKUP(Table14[[#This Row],[Navision Code]],'TABULAR PRICE LIST'!A:L,10,FALSE),0)</f>
        <v>0</v>
      </c>
      <c r="Z243" s="229">
        <f>VLOOKUP(C243,'TABULAR PRICE LIST'!$A:$L,12,FALSE)</f>
        <v>2104</v>
      </c>
      <c r="AA243" s="229" t="e">
        <f>Table14[[#This Row],[Coil Size]]*Table14[[#This Row],[D10]]/1000</f>
        <v>#VALUE!</v>
      </c>
      <c r="AB243" s="229" t="e">
        <f>Table14[[#This Row],[Weight/KYD]]*Table14[[#This Row],[D10]]</f>
        <v>#VALUE!</v>
      </c>
      <c r="AC243" s="177"/>
      <c r="AD243" s="220"/>
    </row>
    <row r="244" spans="1:30" ht="18.5" x14ac:dyDescent="0.45">
      <c r="A244" s="189" t="s">
        <v>34</v>
      </c>
      <c r="B244" s="18">
        <f t="shared" ref="B244:B252" si="15">B243+1</f>
        <v>231</v>
      </c>
      <c r="C244" s="222" t="s">
        <v>591</v>
      </c>
      <c r="D244" s="222" t="s">
        <v>211</v>
      </c>
      <c r="E244" s="222" t="s">
        <v>19</v>
      </c>
      <c r="F244" s="222">
        <v>3</v>
      </c>
      <c r="G244" s="223" t="s">
        <v>602</v>
      </c>
      <c r="H244" s="223" t="s">
        <v>597</v>
      </c>
      <c r="I244" s="224"/>
      <c r="J244" s="225" t="e">
        <f>Table1[[#This Row],[B]]</f>
        <v>#VALUE!</v>
      </c>
      <c r="K244" s="225" t="e">
        <f>Table1[[#This Row],[BE]]</f>
        <v>#VALUE!</v>
      </c>
      <c r="L244" s="225" t="e">
        <f>Table1[[#This Row],[G]]</f>
        <v>#VALUE!</v>
      </c>
      <c r="M244" s="225" t="e">
        <f>Table1[[#This Row],[J]]</f>
        <v>#VALUE!</v>
      </c>
      <c r="N244" s="225" t="e">
        <f>Table1[[#This Row],[N]]</f>
        <v>#VALUE!</v>
      </c>
      <c r="O244" s="225" t="e">
        <f>Table1[[#This Row],[R]]</f>
        <v>#VALUE!</v>
      </c>
      <c r="P244" s="225" t="e">
        <f>Table1[[#This Row],[V]]</f>
        <v>#VALUE!</v>
      </c>
      <c r="Q244" s="225" t="e">
        <f>Table1[[#This Row],[VJ]]</f>
        <v>#VALUE!</v>
      </c>
      <c r="R244" s="225" t="e">
        <f>Table1[[#This Row],[RN]]</f>
        <v>#VALUE!</v>
      </c>
      <c r="S244" s="225" t="e">
        <f>Table1[[#This Row],[Blank]]</f>
        <v>#VALUE!</v>
      </c>
      <c r="T244" s="226" t="e">
        <f>SUM(Table14[[#This Row],[B]:[Blank]])</f>
        <v>#VALUE!</v>
      </c>
      <c r="U244" s="227"/>
      <c r="V244" s="228" t="e">
        <f t="shared" si="14"/>
        <v>#VALUE!</v>
      </c>
      <c r="W244" s="229"/>
      <c r="X244" s="229" t="e">
        <f>Table14[[#This Row],[Coil Size]]*Table14[[#This Row],[D10]]/1000*VLOOKUP(Table14[[#This Row],[Navision Code]],'TABULAR PRICE LIST'!A:L,11,FALSE)</f>
        <v>#VALUE!</v>
      </c>
      <c r="Y244" s="229">
        <f>IFERROR(Table14[[#This Row],[Coil Size]]*Table14[[#This Row],[D10]]/1000*VLOOKUP(Table14[[#This Row],[Navision Code]],'TABULAR PRICE LIST'!A:L,10,FALSE),0)</f>
        <v>0</v>
      </c>
      <c r="Z244" s="229">
        <f>VLOOKUP(C244,'TABULAR PRICE LIST'!$A:$L,12,FALSE)</f>
        <v>2104</v>
      </c>
      <c r="AA244" s="229" t="e">
        <f>Table14[[#This Row],[Coil Size]]*Table14[[#This Row],[D10]]/1000</f>
        <v>#VALUE!</v>
      </c>
      <c r="AB244" s="229" t="e">
        <f>Table14[[#This Row],[Weight/KYD]]*Table14[[#This Row],[D10]]</f>
        <v>#VALUE!</v>
      </c>
      <c r="AC244" s="177"/>
      <c r="AD244" s="220"/>
    </row>
    <row r="245" spans="1:30" ht="18.5" x14ac:dyDescent="0.45">
      <c r="A245" s="189" t="s">
        <v>34</v>
      </c>
      <c r="B245" s="18">
        <f t="shared" si="15"/>
        <v>232</v>
      </c>
      <c r="C245" s="222" t="s">
        <v>592</v>
      </c>
      <c r="D245" s="222" t="s">
        <v>211</v>
      </c>
      <c r="E245" s="222" t="s">
        <v>19</v>
      </c>
      <c r="F245" s="222">
        <v>4</v>
      </c>
      <c r="G245" s="223" t="s">
        <v>602</v>
      </c>
      <c r="H245" s="223" t="s">
        <v>598</v>
      </c>
      <c r="I245" s="224"/>
      <c r="J245" s="225" t="e">
        <f>Table1[[#This Row],[B]]</f>
        <v>#VALUE!</v>
      </c>
      <c r="K245" s="225" t="e">
        <f>Table1[[#This Row],[BE]]</f>
        <v>#VALUE!</v>
      </c>
      <c r="L245" s="225" t="e">
        <f>Table1[[#This Row],[G]]</f>
        <v>#VALUE!</v>
      </c>
      <c r="M245" s="225" t="e">
        <f>Table1[[#This Row],[J]]</f>
        <v>#VALUE!</v>
      </c>
      <c r="N245" s="225" t="e">
        <f>Table1[[#This Row],[N]]</f>
        <v>#VALUE!</v>
      </c>
      <c r="O245" s="225" t="e">
        <f>Table1[[#This Row],[R]]</f>
        <v>#VALUE!</v>
      </c>
      <c r="P245" s="225" t="e">
        <f>Table1[[#This Row],[V]]</f>
        <v>#VALUE!</v>
      </c>
      <c r="Q245" s="225" t="e">
        <f>Table1[[#This Row],[VJ]]</f>
        <v>#VALUE!</v>
      </c>
      <c r="R245" s="225" t="e">
        <f>Table1[[#This Row],[RN]]</f>
        <v>#VALUE!</v>
      </c>
      <c r="S245" s="225" t="e">
        <f>Table1[[#This Row],[Blank]]</f>
        <v>#VALUE!</v>
      </c>
      <c r="T245" s="226" t="e">
        <f>SUM(Table14[[#This Row],[B]:[Blank]])</f>
        <v>#VALUE!</v>
      </c>
      <c r="U245" s="227"/>
      <c r="V245" s="228" t="e">
        <f t="shared" ref="V245:V246" si="16">U245*T245</f>
        <v>#VALUE!</v>
      </c>
      <c r="W245" s="229"/>
      <c r="X245" s="229" t="e">
        <f>Table14[[#This Row],[Coil Size]]*Table14[[#This Row],[D10]]/1000*VLOOKUP(Table14[[#This Row],[Navision Code]],'TABULAR PRICE LIST'!A:L,11,FALSE)</f>
        <v>#VALUE!</v>
      </c>
      <c r="Y245" s="229">
        <f>IFERROR(Table14[[#This Row],[Coil Size]]*Table14[[#This Row],[D10]]/1000*VLOOKUP(Table14[[#This Row],[Navision Code]],'TABULAR PRICE LIST'!A:L,10,FALSE),0)</f>
        <v>0</v>
      </c>
      <c r="Z245" s="229">
        <f>VLOOKUP(C245,'TABULAR PRICE LIST'!$A:$L,12,FALSE)</f>
        <v>1048</v>
      </c>
      <c r="AA245" s="229" t="e">
        <f>Table14[[#This Row],[Coil Size]]*Table14[[#This Row],[D10]]/1000</f>
        <v>#VALUE!</v>
      </c>
      <c r="AB245" s="229" t="e">
        <f>Table14[[#This Row],[Weight/KYD]]*Table14[[#This Row],[D10]]</f>
        <v>#VALUE!</v>
      </c>
      <c r="AC245" s="177"/>
      <c r="AD245" s="220"/>
    </row>
    <row r="246" spans="1:30" ht="18.5" x14ac:dyDescent="0.45">
      <c r="A246" s="189" t="s">
        <v>34</v>
      </c>
      <c r="B246" s="18">
        <f t="shared" si="15"/>
        <v>233</v>
      </c>
      <c r="C246" s="222" t="s">
        <v>593</v>
      </c>
      <c r="D246" s="222" t="s">
        <v>211</v>
      </c>
      <c r="E246" s="222" t="s">
        <v>19</v>
      </c>
      <c r="F246" s="222">
        <v>5</v>
      </c>
      <c r="G246" s="223" t="s">
        <v>602</v>
      </c>
      <c r="H246" s="223" t="s">
        <v>599</v>
      </c>
      <c r="I246" s="224"/>
      <c r="J246" s="225" t="e">
        <f>Table1[[#This Row],[B]]</f>
        <v>#VALUE!</v>
      </c>
      <c r="K246" s="225" t="e">
        <f>Table1[[#This Row],[BE]]</f>
        <v>#VALUE!</v>
      </c>
      <c r="L246" s="225" t="e">
        <f>Table1[[#This Row],[G]]</f>
        <v>#VALUE!</v>
      </c>
      <c r="M246" s="225" t="e">
        <f>Table1[[#This Row],[J]]</f>
        <v>#VALUE!</v>
      </c>
      <c r="N246" s="225" t="e">
        <f>Table1[[#This Row],[N]]</f>
        <v>#VALUE!</v>
      </c>
      <c r="O246" s="225" t="e">
        <f>Table1[[#This Row],[R]]</f>
        <v>#VALUE!</v>
      </c>
      <c r="P246" s="225" t="e">
        <f>Table1[[#This Row],[V]]</f>
        <v>#VALUE!</v>
      </c>
      <c r="Q246" s="225" t="e">
        <f>Table1[[#This Row],[VJ]]</f>
        <v>#VALUE!</v>
      </c>
      <c r="R246" s="225" t="e">
        <f>Table1[[#This Row],[RN]]</f>
        <v>#VALUE!</v>
      </c>
      <c r="S246" s="225" t="e">
        <f>Table1[[#This Row],[Blank]]</f>
        <v>#VALUE!</v>
      </c>
      <c r="T246" s="226" t="e">
        <f>SUM(Table14[[#This Row],[B]:[Blank]])</f>
        <v>#VALUE!</v>
      </c>
      <c r="U246" s="227"/>
      <c r="V246" s="228" t="e">
        <f t="shared" si="16"/>
        <v>#VALUE!</v>
      </c>
      <c r="W246" s="229"/>
      <c r="X246" s="229" t="e">
        <f>Table14[[#This Row],[Coil Size]]*Table14[[#This Row],[D10]]/1000*VLOOKUP(Table14[[#This Row],[Navision Code]],'TABULAR PRICE LIST'!A:L,11,FALSE)</f>
        <v>#VALUE!</v>
      </c>
      <c r="Y246" s="229">
        <f>IFERROR(Table14[[#This Row],[Coil Size]]*Table14[[#This Row],[D10]]/1000*VLOOKUP(Table14[[#This Row],[Navision Code]],'TABULAR PRICE LIST'!A:L,10,FALSE),0)</f>
        <v>0</v>
      </c>
      <c r="Z246" s="229">
        <f>VLOOKUP(C246,'TABULAR PRICE LIST'!$A:$L,12,FALSE)</f>
        <v>1048</v>
      </c>
      <c r="AA246" s="229" t="e">
        <f>Table14[[#This Row],[Coil Size]]*Table14[[#This Row],[D10]]/1000</f>
        <v>#VALUE!</v>
      </c>
      <c r="AB246" s="229" t="e">
        <f>Table14[[#This Row],[Weight/KYD]]*Table14[[#This Row],[D10]]</f>
        <v>#VALUE!</v>
      </c>
      <c r="AC246" s="177"/>
      <c r="AD246" s="220"/>
    </row>
    <row r="247" spans="1:30" ht="18.5" x14ac:dyDescent="0.45">
      <c r="A247" s="189" t="s">
        <v>34</v>
      </c>
      <c r="B247" s="18">
        <f t="shared" si="15"/>
        <v>234</v>
      </c>
      <c r="C247" s="222" t="s">
        <v>594</v>
      </c>
      <c r="D247" s="222" t="s">
        <v>211</v>
      </c>
      <c r="E247" s="222" t="s">
        <v>19</v>
      </c>
      <c r="F247" s="222">
        <v>6</v>
      </c>
      <c r="G247" s="223" t="s">
        <v>602</v>
      </c>
      <c r="H247" s="223" t="s">
        <v>600</v>
      </c>
      <c r="I247" s="224"/>
      <c r="J247" s="225" t="e">
        <f>Table1[[#This Row],[B]]</f>
        <v>#VALUE!</v>
      </c>
      <c r="K247" s="225" t="e">
        <f>Table1[[#This Row],[BE]]</f>
        <v>#VALUE!</v>
      </c>
      <c r="L247" s="225" t="e">
        <f>Table1[[#This Row],[G]]</f>
        <v>#VALUE!</v>
      </c>
      <c r="M247" s="225" t="e">
        <f>Table1[[#This Row],[J]]</f>
        <v>#VALUE!</v>
      </c>
      <c r="N247" s="225" t="e">
        <f>Table1[[#This Row],[N]]</f>
        <v>#VALUE!</v>
      </c>
      <c r="O247" s="225" t="e">
        <f>Table1[[#This Row],[R]]</f>
        <v>#VALUE!</v>
      </c>
      <c r="P247" s="225" t="e">
        <f>Table1[[#This Row],[V]]</f>
        <v>#VALUE!</v>
      </c>
      <c r="Q247" s="225" t="e">
        <f>Table1[[#This Row],[VJ]]</f>
        <v>#VALUE!</v>
      </c>
      <c r="R247" s="225" t="e">
        <f>Table1[[#This Row],[RN]]</f>
        <v>#VALUE!</v>
      </c>
      <c r="S247" s="225" t="e">
        <f>Table1[[#This Row],[Blank]]</f>
        <v>#VALUE!</v>
      </c>
      <c r="T247" s="226" t="e">
        <f>SUM(Table14[[#This Row],[B]:[Blank]])</f>
        <v>#VALUE!</v>
      </c>
      <c r="U247" s="227"/>
      <c r="V247" s="228" t="e">
        <f t="shared" ref="V247:V248" si="17">U247*T247</f>
        <v>#VALUE!</v>
      </c>
      <c r="W247" s="229"/>
      <c r="X247" s="229" t="e">
        <f>Table14[[#This Row],[Coil Size]]*Table14[[#This Row],[D10]]/1000*VLOOKUP(Table14[[#This Row],[Navision Code]],'TABULAR PRICE LIST'!A:L,11,FALSE)</f>
        <v>#VALUE!</v>
      </c>
      <c r="Y247" s="229">
        <f>IFERROR(Table14[[#This Row],[Coil Size]]*Table14[[#This Row],[D10]]/1000*VLOOKUP(Table14[[#This Row],[Navision Code]],'TABULAR PRICE LIST'!A:L,10,FALSE),0)</f>
        <v>0</v>
      </c>
      <c r="Z247" s="229">
        <f>VLOOKUP(C247,'TABULAR PRICE LIST'!$A:$L,12,FALSE)</f>
        <v>1401</v>
      </c>
      <c r="AA247" s="229" t="e">
        <f>Table14[[#This Row],[Coil Size]]*Table14[[#This Row],[D10]]/1000</f>
        <v>#VALUE!</v>
      </c>
      <c r="AB247" s="229" t="e">
        <f>Table14[[#This Row],[Weight/KYD]]*Table14[[#This Row],[D10]]</f>
        <v>#VALUE!</v>
      </c>
      <c r="AC247" s="177"/>
      <c r="AD247" s="220"/>
    </row>
    <row r="248" spans="1:30" ht="18.5" x14ac:dyDescent="0.45">
      <c r="A248" s="189" t="s">
        <v>34</v>
      </c>
      <c r="B248" s="18">
        <f t="shared" si="15"/>
        <v>235</v>
      </c>
      <c r="C248" s="222" t="s">
        <v>595</v>
      </c>
      <c r="D248" s="222" t="s">
        <v>211</v>
      </c>
      <c r="E248" s="222" t="s">
        <v>19</v>
      </c>
      <c r="F248" s="222">
        <v>7</v>
      </c>
      <c r="G248" s="223" t="s">
        <v>602</v>
      </c>
      <c r="H248" s="223" t="s">
        <v>601</v>
      </c>
      <c r="I248" s="224"/>
      <c r="J248" s="225" t="e">
        <f>Table1[[#This Row],[B]]</f>
        <v>#VALUE!</v>
      </c>
      <c r="K248" s="225" t="e">
        <f>Table1[[#This Row],[BE]]</f>
        <v>#VALUE!</v>
      </c>
      <c r="L248" s="225" t="e">
        <f>Table1[[#This Row],[G]]</f>
        <v>#VALUE!</v>
      </c>
      <c r="M248" s="225" t="e">
        <f>Table1[[#This Row],[J]]</f>
        <v>#VALUE!</v>
      </c>
      <c r="N248" s="225" t="e">
        <f>Table1[[#This Row],[N]]</f>
        <v>#VALUE!</v>
      </c>
      <c r="O248" s="225" t="e">
        <f>Table1[[#This Row],[R]]</f>
        <v>#VALUE!</v>
      </c>
      <c r="P248" s="225" t="e">
        <f>Table1[[#This Row],[V]]</f>
        <v>#VALUE!</v>
      </c>
      <c r="Q248" s="225" t="e">
        <f>Table1[[#This Row],[VJ]]</f>
        <v>#VALUE!</v>
      </c>
      <c r="R248" s="225" t="e">
        <f>Table1[[#This Row],[RN]]</f>
        <v>#VALUE!</v>
      </c>
      <c r="S248" s="225" t="e">
        <f>Table1[[#This Row],[Blank]]</f>
        <v>#VALUE!</v>
      </c>
      <c r="T248" s="226" t="e">
        <f>SUM(Table14[[#This Row],[B]:[Blank]])</f>
        <v>#VALUE!</v>
      </c>
      <c r="U248" s="227"/>
      <c r="V248" s="228" t="e">
        <f t="shared" si="17"/>
        <v>#VALUE!</v>
      </c>
      <c r="W248" s="229"/>
      <c r="X248" s="229" t="e">
        <f>Table14[[#This Row],[Coil Size]]*Table14[[#This Row],[D10]]/1000*VLOOKUP(Table14[[#This Row],[Navision Code]],'TABULAR PRICE LIST'!A:L,11,FALSE)</f>
        <v>#VALUE!</v>
      </c>
      <c r="Y248" s="229">
        <f>IFERROR(Table14[[#This Row],[Coil Size]]*Table14[[#This Row],[D10]]/1000*VLOOKUP(Table14[[#This Row],[Navision Code]],'TABULAR PRICE LIST'!A:L,10,FALSE),0)</f>
        <v>0</v>
      </c>
      <c r="Z248" s="229">
        <f>VLOOKUP(C248,'TABULAR PRICE LIST'!$A:$L,12,FALSE)</f>
        <v>1401</v>
      </c>
      <c r="AA248" s="229" t="e">
        <f>Table14[[#This Row],[Coil Size]]*Table14[[#This Row],[D10]]/1000</f>
        <v>#VALUE!</v>
      </c>
      <c r="AB248" s="229" t="e">
        <f>Table14[[#This Row],[Weight/KYD]]*Table14[[#This Row],[D10]]</f>
        <v>#VALUE!</v>
      </c>
      <c r="AC248" s="177"/>
      <c r="AD248" s="220"/>
    </row>
    <row r="249" spans="1:30" ht="18.5" x14ac:dyDescent="0.45">
      <c r="A249" s="189" t="s">
        <v>34</v>
      </c>
      <c r="B249" s="18">
        <f t="shared" si="15"/>
        <v>236</v>
      </c>
      <c r="C249" s="272" t="s">
        <v>828</v>
      </c>
      <c r="D249" s="272" t="s">
        <v>211</v>
      </c>
      <c r="E249" s="272" t="s">
        <v>19</v>
      </c>
      <c r="F249" s="272">
        <v>1</v>
      </c>
      <c r="G249" s="273" t="s">
        <v>129</v>
      </c>
      <c r="H249" s="273" t="s">
        <v>829</v>
      </c>
      <c r="I249" s="274"/>
      <c r="J249" s="275" t="e">
        <f>Table1[[#This Row],[B]]</f>
        <v>#VALUE!</v>
      </c>
      <c r="K249" s="275" t="e">
        <f>Table1[[#This Row],[BE]]</f>
        <v>#VALUE!</v>
      </c>
      <c r="L249" s="275" t="e">
        <f>Table1[[#This Row],[G]]</f>
        <v>#VALUE!</v>
      </c>
      <c r="M249" s="275" t="e">
        <f>Table1[[#This Row],[J]]</f>
        <v>#VALUE!</v>
      </c>
      <c r="N249" s="275" t="e">
        <f>Table1[[#This Row],[N]]</f>
        <v>#VALUE!</v>
      </c>
      <c r="O249" s="275" t="e">
        <f>Table1[[#This Row],[R]]</f>
        <v>#VALUE!</v>
      </c>
      <c r="P249" s="275" t="e">
        <f>Table1[[#This Row],[V]]</f>
        <v>#VALUE!</v>
      </c>
      <c r="Q249" s="275" t="e">
        <f>Table1[[#This Row],[VJ]]</f>
        <v>#VALUE!</v>
      </c>
      <c r="R249" s="275" t="e">
        <f>Table1[[#This Row],[RN]]</f>
        <v>#VALUE!</v>
      </c>
      <c r="S249" s="275" t="e">
        <f>Table1[[#This Row],[Blank]]</f>
        <v>#VALUE!</v>
      </c>
      <c r="T249" s="276" t="e">
        <f>SUM(Table14[[#This Row],[B]:[Blank]])</f>
        <v>#VALUE!</v>
      </c>
      <c r="U249" s="277"/>
      <c r="V249" s="278" t="e">
        <f t="shared" ref="V249:V250" si="18">U249*T249</f>
        <v>#VALUE!</v>
      </c>
      <c r="W249" s="279"/>
      <c r="X249" s="279" t="e">
        <f>Table14[[#This Row],[Coil Size]]*Table14[[#This Row],[D10]]/1000*VLOOKUP(Table14[[#This Row],[Navision Code]],'TABULAR PRICE LIST'!A:L,11,FALSE)</f>
        <v>#VALUE!</v>
      </c>
      <c r="Y249" s="279">
        <f>IFERROR(Table14[[#This Row],[Coil Size]]*Table14[[#This Row],[D10]]/1000*VLOOKUP(Table14[[#This Row],[Navision Code]],'TABULAR PRICE LIST'!A:L,10,FALSE),0)</f>
        <v>0</v>
      </c>
      <c r="Z249" s="279" t="e">
        <f>VLOOKUP(C249,'TABULAR PRICE LIST'!$A:$L,12,FALSE)</f>
        <v>#N/A</v>
      </c>
      <c r="AA249" s="279" t="e">
        <f>Table14[[#This Row],[Coil Size]]*Table14[[#This Row],[D10]]/1000</f>
        <v>#VALUE!</v>
      </c>
      <c r="AB249" s="279" t="e">
        <f>Table14[[#This Row],[Weight/KYD]]*Table14[[#This Row],[D10]]</f>
        <v>#VALUE!</v>
      </c>
      <c r="AC249" s="177"/>
      <c r="AD249" s="220"/>
    </row>
    <row r="250" spans="1:30" ht="18.5" x14ac:dyDescent="0.45">
      <c r="A250" s="189" t="s">
        <v>34</v>
      </c>
      <c r="B250" s="18">
        <f t="shared" si="15"/>
        <v>237</v>
      </c>
      <c r="C250" s="272" t="s">
        <v>830</v>
      </c>
      <c r="D250" s="272" t="s">
        <v>211</v>
      </c>
      <c r="E250" s="272" t="s">
        <v>19</v>
      </c>
      <c r="F250" s="272">
        <v>1</v>
      </c>
      <c r="G250" s="273" t="s">
        <v>129</v>
      </c>
      <c r="H250" s="273" t="s">
        <v>831</v>
      </c>
      <c r="I250" s="274"/>
      <c r="J250" s="275" t="e">
        <f>Table1[[#This Row],[B]]</f>
        <v>#VALUE!</v>
      </c>
      <c r="K250" s="275" t="e">
        <f>Table1[[#This Row],[BE]]</f>
        <v>#VALUE!</v>
      </c>
      <c r="L250" s="275" t="e">
        <f>Table1[[#This Row],[G]]</f>
        <v>#VALUE!</v>
      </c>
      <c r="M250" s="275" t="e">
        <f>Table1[[#This Row],[J]]</f>
        <v>#VALUE!</v>
      </c>
      <c r="N250" s="275" t="e">
        <f>Table1[[#This Row],[N]]</f>
        <v>#VALUE!</v>
      </c>
      <c r="O250" s="275" t="e">
        <f>Table1[[#This Row],[R]]</f>
        <v>#VALUE!</v>
      </c>
      <c r="P250" s="275" t="e">
        <f>Table1[[#This Row],[V]]</f>
        <v>#VALUE!</v>
      </c>
      <c r="Q250" s="275" t="e">
        <f>Table1[[#This Row],[VJ]]</f>
        <v>#VALUE!</v>
      </c>
      <c r="R250" s="275" t="e">
        <f>Table1[[#This Row],[RN]]</f>
        <v>#VALUE!</v>
      </c>
      <c r="S250" s="275" t="e">
        <f>Table1[[#This Row],[Blank]]</f>
        <v>#VALUE!</v>
      </c>
      <c r="T250" s="276" t="e">
        <f>SUM(Table14[[#This Row],[B]:[Blank]])</f>
        <v>#VALUE!</v>
      </c>
      <c r="U250" s="277"/>
      <c r="V250" s="278" t="e">
        <f t="shared" si="18"/>
        <v>#VALUE!</v>
      </c>
      <c r="W250" s="279"/>
      <c r="X250" s="279" t="e">
        <f>Table14[[#This Row],[Coil Size]]*Table14[[#This Row],[D10]]/1000*VLOOKUP(Table14[[#This Row],[Navision Code]],'TABULAR PRICE LIST'!A:L,11,FALSE)</f>
        <v>#VALUE!</v>
      </c>
      <c r="Y250" s="279">
        <f>IFERROR(Table14[[#This Row],[Coil Size]]*Table14[[#This Row],[D10]]/1000*VLOOKUP(Table14[[#This Row],[Navision Code]],'TABULAR PRICE LIST'!A:L,10,FALSE),0)</f>
        <v>0</v>
      </c>
      <c r="Z250" s="279" t="e">
        <f>VLOOKUP(C250,'TABULAR PRICE LIST'!$A:$L,12,FALSE)</f>
        <v>#N/A</v>
      </c>
      <c r="AA250" s="279" t="e">
        <f>Table14[[#This Row],[Coil Size]]*Table14[[#This Row],[D10]]/1000</f>
        <v>#VALUE!</v>
      </c>
      <c r="AB250" s="279" t="e">
        <f>Table14[[#This Row],[Weight/KYD]]*Table14[[#This Row],[D10]]</f>
        <v>#VALUE!</v>
      </c>
      <c r="AC250" s="177"/>
      <c r="AD250" s="220"/>
    </row>
    <row r="251" spans="1:30" ht="18.5" x14ac:dyDescent="0.45">
      <c r="A251" s="189" t="s">
        <v>34</v>
      </c>
      <c r="B251" s="18">
        <f t="shared" si="15"/>
        <v>238</v>
      </c>
      <c r="C251" s="21" t="s">
        <v>848</v>
      </c>
      <c r="D251" s="21" t="s">
        <v>211</v>
      </c>
      <c r="E251" s="21" t="s">
        <v>19</v>
      </c>
      <c r="F251" s="21">
        <v>1</v>
      </c>
      <c r="G251" s="223" t="s">
        <v>602</v>
      </c>
      <c r="H251" s="223" t="s">
        <v>845</v>
      </c>
      <c r="I251" s="274"/>
      <c r="J251" s="275" t="e">
        <f>Table1[[#This Row],[B]]</f>
        <v>#VALUE!</v>
      </c>
      <c r="K251" s="275" t="e">
        <f>Table1[[#This Row],[BE]]</f>
        <v>#VALUE!</v>
      </c>
      <c r="L251" s="275" t="e">
        <f>Table1[[#This Row],[G]]</f>
        <v>#VALUE!</v>
      </c>
      <c r="M251" s="275" t="e">
        <f>Table1[[#This Row],[J]]</f>
        <v>#VALUE!</v>
      </c>
      <c r="N251" s="275" t="e">
        <f>Table1[[#This Row],[N]]</f>
        <v>#VALUE!</v>
      </c>
      <c r="O251" s="275" t="e">
        <f>Table1[[#This Row],[R]]</f>
        <v>#VALUE!</v>
      </c>
      <c r="P251" s="275" t="e">
        <f>Table1[[#This Row],[V]]</f>
        <v>#VALUE!</v>
      </c>
      <c r="Q251" s="275" t="e">
        <f>Table1[[#This Row],[VJ]]</f>
        <v>#VALUE!</v>
      </c>
      <c r="R251" s="275" t="e">
        <f>Table1[[#This Row],[RN]]</f>
        <v>#VALUE!</v>
      </c>
      <c r="S251" s="275" t="e">
        <f>Table1[[#This Row],[Blank]]</f>
        <v>#VALUE!</v>
      </c>
      <c r="T251" s="276" t="e">
        <f>SUM(Table14[[#This Row],[B]:[Blank]])</f>
        <v>#VALUE!</v>
      </c>
      <c r="U251" s="277"/>
      <c r="V251" s="278" t="e">
        <f t="shared" ref="V251:V252" si="19">U251*T251</f>
        <v>#VALUE!</v>
      </c>
      <c r="W251" s="279"/>
      <c r="X251" s="279" t="e">
        <f>Table14[[#This Row],[Coil Size]]*Table14[[#This Row],[D10]]/1000*VLOOKUP(Table14[[#This Row],[Navision Code]],'TABULAR PRICE LIST'!A:L,11,FALSE)</f>
        <v>#VALUE!</v>
      </c>
      <c r="Y251" s="279">
        <f>IFERROR(Table14[[#This Row],[Coil Size]]*Table14[[#This Row],[D10]]/1000*VLOOKUP(Table14[[#This Row],[Navision Code]],'TABULAR PRICE LIST'!A:L,10,FALSE),0)</f>
        <v>0</v>
      </c>
      <c r="Z251" s="279" t="e">
        <f>VLOOKUP(C251,'TABULAR PRICE LIST'!$A:$L,12,FALSE)</f>
        <v>#N/A</v>
      </c>
      <c r="AA251" s="279" t="e">
        <f>Table14[[#This Row],[Coil Size]]*Table14[[#This Row],[D10]]/1000</f>
        <v>#VALUE!</v>
      </c>
      <c r="AB251" s="279" t="e">
        <f>Table14[[#This Row],[Weight/KYD]]*Table14[[#This Row],[D10]]</f>
        <v>#VALUE!</v>
      </c>
      <c r="AC251" s="177"/>
      <c r="AD251" s="220"/>
    </row>
    <row r="252" spans="1:30" ht="18.5" x14ac:dyDescent="0.45">
      <c r="A252" s="189" t="s">
        <v>34</v>
      </c>
      <c r="B252" s="18">
        <f t="shared" si="15"/>
        <v>239</v>
      </c>
      <c r="C252" s="21" t="s">
        <v>847</v>
      </c>
      <c r="D252" s="21" t="s">
        <v>211</v>
      </c>
      <c r="E252" s="21" t="s">
        <v>19</v>
      </c>
      <c r="F252" s="21">
        <v>1</v>
      </c>
      <c r="G252" s="223" t="s">
        <v>602</v>
      </c>
      <c r="H252" s="273" t="s">
        <v>846</v>
      </c>
      <c r="I252" s="274"/>
      <c r="J252" s="275" t="e">
        <f>Table1[[#This Row],[B]]</f>
        <v>#VALUE!</v>
      </c>
      <c r="K252" s="275" t="e">
        <f>Table1[[#This Row],[BE]]</f>
        <v>#VALUE!</v>
      </c>
      <c r="L252" s="275" t="e">
        <f>Table1[[#This Row],[G]]</f>
        <v>#VALUE!</v>
      </c>
      <c r="M252" s="275" t="e">
        <f>Table1[[#This Row],[J]]</f>
        <v>#VALUE!</v>
      </c>
      <c r="N252" s="275" t="e">
        <f>Table1[[#This Row],[N]]</f>
        <v>#VALUE!</v>
      </c>
      <c r="O252" s="275" t="e">
        <f>Table1[[#This Row],[R]]</f>
        <v>#VALUE!</v>
      </c>
      <c r="P252" s="275" t="e">
        <f>Table1[[#This Row],[V]]</f>
        <v>#VALUE!</v>
      </c>
      <c r="Q252" s="275" t="e">
        <f>Table1[[#This Row],[VJ]]</f>
        <v>#VALUE!</v>
      </c>
      <c r="R252" s="275" t="e">
        <f>Table1[[#This Row],[RN]]</f>
        <v>#VALUE!</v>
      </c>
      <c r="S252" s="275" t="e">
        <f>Table1[[#This Row],[Blank]]</f>
        <v>#VALUE!</v>
      </c>
      <c r="T252" s="276" t="e">
        <f>SUM(Table14[[#This Row],[B]:[Blank]])</f>
        <v>#VALUE!</v>
      </c>
      <c r="U252" s="277"/>
      <c r="V252" s="278" t="e">
        <f t="shared" si="19"/>
        <v>#VALUE!</v>
      </c>
      <c r="W252" s="279"/>
      <c r="X252" s="279" t="e">
        <f>Table14[[#This Row],[Coil Size]]*Table14[[#This Row],[D10]]/1000*VLOOKUP(Table14[[#This Row],[Navision Code]],'TABULAR PRICE LIST'!A:L,11,FALSE)</f>
        <v>#VALUE!</v>
      </c>
      <c r="Y252" s="279">
        <f>IFERROR(Table14[[#This Row],[Coil Size]]*Table14[[#This Row],[D10]]/1000*VLOOKUP(Table14[[#This Row],[Navision Code]],'TABULAR PRICE LIST'!A:L,10,FALSE),0)</f>
        <v>0</v>
      </c>
      <c r="Z252" s="279" t="e">
        <f>VLOOKUP(C252,'TABULAR PRICE LIST'!$A:$L,12,FALSE)</f>
        <v>#N/A</v>
      </c>
      <c r="AA252" s="279" t="e">
        <f>Table14[[#This Row],[Coil Size]]*Table14[[#This Row],[D10]]/1000</f>
        <v>#VALUE!</v>
      </c>
      <c r="AB252" s="279" t="e">
        <f>Table14[[#This Row],[Weight/KYD]]*Table14[[#This Row],[D10]]</f>
        <v>#VALUE!</v>
      </c>
      <c r="AC252" s="177"/>
      <c r="AD252" s="220"/>
    </row>
    <row r="253" spans="1:30" ht="18.5" x14ac:dyDescent="0.45">
      <c r="A253" s="189"/>
      <c r="B253" s="221"/>
      <c r="C253" s="222"/>
      <c r="D253" s="222"/>
      <c r="E253" s="222"/>
      <c r="F253" s="222"/>
      <c r="G253" s="223"/>
      <c r="H253" s="223"/>
      <c r="I253" s="224"/>
      <c r="J253" s="225" t="e">
        <f>Table1[[#This Row],[B]]</f>
        <v>#VALUE!</v>
      </c>
      <c r="K253" s="225" t="e">
        <f>Table1[[#This Row],[BE]]</f>
        <v>#VALUE!</v>
      </c>
      <c r="L253" s="225" t="e">
        <f>Table1[[#This Row],[G]]</f>
        <v>#VALUE!</v>
      </c>
      <c r="M253" s="225" t="e">
        <f>Table1[[#This Row],[J]]</f>
        <v>#VALUE!</v>
      </c>
      <c r="N253" s="225" t="e">
        <f>Table1[[#This Row],[N]]</f>
        <v>#VALUE!</v>
      </c>
      <c r="O253" s="225" t="e">
        <f>Table1[[#This Row],[R]]</f>
        <v>#VALUE!</v>
      </c>
      <c r="P253" s="225" t="e">
        <f>Table1[[#This Row],[V]]</f>
        <v>#VALUE!</v>
      </c>
      <c r="Q253" s="225" t="e">
        <f>Table1[[#This Row],[VJ]]</f>
        <v>#VALUE!</v>
      </c>
      <c r="R253" s="225" t="e">
        <f>Table1[[#This Row],[RN]]</f>
        <v>#VALUE!</v>
      </c>
      <c r="S253" s="225" t="e">
        <f>Table1[[#This Row],[Blank]]</f>
        <v>#VALUE!</v>
      </c>
      <c r="T253" s="226" t="e">
        <f>SUM(Table14[[#This Row],[B]:[Blank]])</f>
        <v>#VALUE!</v>
      </c>
      <c r="U253" s="227"/>
      <c r="V253" s="228" t="e">
        <f>U253*T253</f>
        <v>#VALUE!</v>
      </c>
      <c r="W253" s="229"/>
      <c r="X253" s="229" t="e">
        <f>Table14[[#This Row],[Coil Size]]*Table14[[#This Row],[D10]]/1000*VLOOKUP(Table14[[#This Row],[Navision Code]],'TABULAR PRICE LIST'!A:L,11,FALSE)</f>
        <v>#VALUE!</v>
      </c>
      <c r="Y253" s="229">
        <f>IFERROR(Table14[[#This Row],[Coil Size]]*Table14[[#This Row],[D10]]/1000*VLOOKUP(Table14[[#This Row],[Navision Code]],'TABULAR PRICE LIST'!A:L,10,FALSE),0)</f>
        <v>0</v>
      </c>
      <c r="Z253" s="229" t="e">
        <f>VLOOKUP(C253,'TABULAR PRICE LIST'!$A:$L,12,FALSE)</f>
        <v>#N/A</v>
      </c>
      <c r="AA253" s="229" t="e">
        <f>Table14[[#This Row],[Coil Size]]*Table14[[#This Row],[D10]]/1000</f>
        <v>#VALUE!</v>
      </c>
      <c r="AB253" s="229" t="e">
        <f>Table14[[#This Row],[Weight/KYD]]*Table14[[#This Row],[D10]]</f>
        <v>#VALUE!</v>
      </c>
      <c r="AC253" s="177"/>
      <c r="AD253" s="220"/>
    </row>
    <row r="254" spans="1:30" ht="18.5" x14ac:dyDescent="0.45">
      <c r="B254" s="18"/>
      <c r="C254" s="21"/>
      <c r="D254" s="21"/>
      <c r="E254" s="21"/>
      <c r="F254" s="21"/>
      <c r="G254" s="22"/>
      <c r="H254" s="22"/>
      <c r="I254" s="20"/>
      <c r="J254" s="193" t="e">
        <f>Table1[[#This Row],[B]]</f>
        <v>#VALUE!</v>
      </c>
      <c r="K254" s="193" t="e">
        <f>Table1[[#This Row],[BE]]</f>
        <v>#VALUE!</v>
      </c>
      <c r="L254" s="193" t="e">
        <f>Table1[[#This Row],[G]]</f>
        <v>#VALUE!</v>
      </c>
      <c r="M254" s="193" t="e">
        <f>Table1[[#This Row],[J]]</f>
        <v>#VALUE!</v>
      </c>
      <c r="N254" s="193" t="e">
        <f>Table1[[#This Row],[N]]</f>
        <v>#VALUE!</v>
      </c>
      <c r="O254" s="193" t="e">
        <f>Table1[[#This Row],[R]]</f>
        <v>#VALUE!</v>
      </c>
      <c r="P254" s="193" t="e">
        <f>Table1[[#This Row],[V]]</f>
        <v>#VALUE!</v>
      </c>
      <c r="Q254" s="193" t="e">
        <f>Table1[[#This Row],[VJ]]</f>
        <v>#VALUE!</v>
      </c>
      <c r="R254" s="193" t="e">
        <f>Table1[[#This Row],[RN]]</f>
        <v>#VALUE!</v>
      </c>
      <c r="S254" s="193" t="e">
        <f>Table1[[#This Row],[Blank]]</f>
        <v>#VALUE!</v>
      </c>
      <c r="T254" s="105"/>
      <c r="U254" s="116"/>
      <c r="V254" s="118"/>
      <c r="W254" s="121"/>
      <c r="X254" s="121"/>
      <c r="Y254" s="121"/>
      <c r="Z254" s="121"/>
      <c r="AA254" s="121">
        <f>Table14[[#This Row],[Coil Size]]*Table14[[#This Row],[D10]]/1000</f>
        <v>0</v>
      </c>
      <c r="AB254" s="121"/>
      <c r="AD254" s="205"/>
    </row>
    <row r="255" spans="1:30" ht="14" x14ac:dyDescent="0.3">
      <c r="AB255" s="174"/>
    </row>
    <row r="256" spans="1:30" ht="14" x14ac:dyDescent="0.3">
      <c r="AB256" s="174"/>
    </row>
    <row r="257" spans="28:28" ht="14" x14ac:dyDescent="0.3">
      <c r="AB257" s="174"/>
    </row>
    <row r="258" spans="28:28" ht="14" x14ac:dyDescent="0.3">
      <c r="AB258" s="174"/>
    </row>
    <row r="259" spans="28:28" ht="14" x14ac:dyDescent="0.3">
      <c r="AB259" s="174"/>
    </row>
    <row r="260" spans="28:28" ht="14" x14ac:dyDescent="0.3">
      <c r="AB260" s="174"/>
    </row>
    <row r="261" spans="28:28" ht="14" x14ac:dyDescent="0.3">
      <c r="AB261" s="174"/>
    </row>
    <row r="262" spans="28:28" ht="14" x14ac:dyDescent="0.3">
      <c r="AB262" s="174"/>
    </row>
    <row r="263" spans="28:28" ht="14" x14ac:dyDescent="0.3">
      <c r="AB263" s="174"/>
    </row>
    <row r="264" spans="28:28" ht="14" x14ac:dyDescent="0.3">
      <c r="AB264" s="174"/>
    </row>
    <row r="265" spans="28:28" ht="14" x14ac:dyDescent="0.3">
      <c r="AB265" s="174"/>
    </row>
    <row r="266" spans="28:28" ht="14" x14ac:dyDescent="0.3">
      <c r="AB266" s="174"/>
    </row>
    <row r="267" spans="28:28" ht="14" x14ac:dyDescent="0.3">
      <c r="AB267" s="174"/>
    </row>
    <row r="268" spans="28:28" ht="14" x14ac:dyDescent="0.3">
      <c r="AB268" s="174"/>
    </row>
    <row r="269" spans="28:28" ht="14" x14ac:dyDescent="0.3">
      <c r="AB269" s="174"/>
    </row>
    <row r="270" spans="28:28" ht="14" x14ac:dyDescent="0.3">
      <c r="AB270" s="174"/>
    </row>
    <row r="271" spans="28:28" ht="14" x14ac:dyDescent="0.3">
      <c r="AB271" s="174"/>
    </row>
    <row r="272" spans="28:28" ht="14" x14ac:dyDescent="0.3">
      <c r="AB272" s="174"/>
    </row>
    <row r="273" spans="28:28" ht="14" x14ac:dyDescent="0.3">
      <c r="AB273" s="174"/>
    </row>
    <row r="274" spans="28:28" ht="14" x14ac:dyDescent="0.3">
      <c r="AB274" s="174"/>
    </row>
    <row r="275" spans="28:28" ht="14" x14ac:dyDescent="0.3">
      <c r="AB275" s="174"/>
    </row>
    <row r="276" spans="28:28" ht="14" x14ac:dyDescent="0.3">
      <c r="AB276" s="174"/>
    </row>
    <row r="277" spans="28:28" ht="14" x14ac:dyDescent="0.3">
      <c r="AB277" s="174"/>
    </row>
    <row r="278" spans="28:28" ht="14" x14ac:dyDescent="0.3">
      <c r="AB278" s="174"/>
    </row>
    <row r="279" spans="28:28" ht="14" x14ac:dyDescent="0.3">
      <c r="AB279" s="174"/>
    </row>
    <row r="280" spans="28:28" ht="14" x14ac:dyDescent="0.3">
      <c r="AB280" s="174"/>
    </row>
    <row r="281" spans="28:28" ht="14" x14ac:dyDescent="0.3">
      <c r="AB281" s="174"/>
    </row>
    <row r="282" spans="28:28" ht="14" x14ac:dyDescent="0.3">
      <c r="AB282" s="174"/>
    </row>
    <row r="283" spans="28:28" ht="14" x14ac:dyDescent="0.3">
      <c r="AB283" s="174"/>
    </row>
    <row r="284" spans="28:28" ht="14" x14ac:dyDescent="0.3">
      <c r="AB284" s="174"/>
    </row>
  </sheetData>
  <mergeCells count="8">
    <mergeCell ref="B2:AB2"/>
    <mergeCell ref="D6:D7"/>
    <mergeCell ref="E6:E7"/>
    <mergeCell ref="F6:F7"/>
    <mergeCell ref="G6:G7"/>
    <mergeCell ref="H6:H7"/>
    <mergeCell ref="J6:U6"/>
    <mergeCell ref="U7:U8"/>
  </mergeCells>
  <dataValidations count="1">
    <dataValidation type="list" allowBlank="1" showInputMessage="1" showErrorMessage="1" sqref="D10">
      <formula1>"C,T"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'CUSTOMER LIST'!$B$3:$B$8</xm:f>
          </x14:formula1>
          <xm:sqref>C3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2D933A429F3334999F4896F2D0A814E" ma:contentTypeVersion="13" ma:contentTypeDescription="Create a new document." ma:contentTypeScope="" ma:versionID="15b8cd9d40bd7c2f77ab3ab0732fba47">
  <xsd:schema xmlns:xsd="http://www.w3.org/2001/XMLSchema" xmlns:xs="http://www.w3.org/2001/XMLSchema" xmlns:p="http://schemas.microsoft.com/office/2006/metadata/properties" xmlns:ns3="ed07e663-6adf-4734-b623-30f3b98a9aed" xmlns:ns4="d8402cf4-210d-4cdb-b78d-b6c85ad90f64" targetNamespace="http://schemas.microsoft.com/office/2006/metadata/properties" ma:root="true" ma:fieldsID="d3eb810de43071180a1e9e0e744379c2" ns3:_="" ns4:_="">
    <xsd:import namespace="ed07e663-6adf-4734-b623-30f3b98a9aed"/>
    <xsd:import namespace="d8402cf4-210d-4cdb-b78d-b6c85ad90f6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07e663-6adf-4734-b623-30f3b98a9ae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402cf4-210d-4cdb-b78d-b6c85ad90f64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2857693B-445D-4ED0-B2AE-6E797446E2B9}">
  <ds:schemaRefs>
    <ds:schemaRef ds:uri="http://purl.org/dc/elements/1.1/"/>
    <ds:schemaRef ds:uri="ed07e663-6adf-4734-b623-30f3b98a9aed"/>
    <ds:schemaRef ds:uri="http://purl.org/dc/dcmitype/"/>
    <ds:schemaRef ds:uri="http://schemas.microsoft.com/office/2006/documentManagement/types"/>
    <ds:schemaRef ds:uri="d8402cf4-210d-4cdb-b78d-b6c85ad90f64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8D1C3D5-EAE7-4EE1-82C4-F1A961501C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C502D5-4B38-4FD2-97D1-A7110D0C542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d07e663-6adf-4734-b623-30f3b98a9aed"/>
    <ds:schemaRef ds:uri="d8402cf4-210d-4cdb-b78d-b6c85ad90f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922F76C-846F-421C-8E0B-1EF7B8FE5CE4}">
  <ds:schemaRefs>
    <ds:schemaRef ds:uri="http://schemas.microsoft.com/PowerBIAddIn"/>
  </ds:schemaRefs>
</ds:datastoreItem>
</file>

<file path=docMetadata/LabelInfo.xml><?xml version="1.0" encoding="utf-8"?>
<clbl:labelList xmlns:clbl="http://schemas.microsoft.com/office/2020/mipLabelMetadata">
  <clbl:label id="{89ab092d-ad68-44f0-89ca-65366b4c429a}" enabled="1" method="Standard" siteId="{2f7e641d-35dd-4a72-91ef-9c34810f321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CUSTOMER LIST</vt:lpstr>
      <vt:lpstr>Main Pricing Template</vt:lpstr>
      <vt:lpstr>Sheet6</vt:lpstr>
      <vt:lpstr>Import Coils</vt:lpstr>
      <vt:lpstr>Import Drums</vt:lpstr>
      <vt:lpstr>Sheet3</vt:lpstr>
      <vt:lpstr>TABULAR PRICE LIST</vt:lpstr>
      <vt:lpstr>Main Pricing Template DV</vt:lpstr>
      <vt:lpstr>'TABULAR PRICE LIST'!Print_Area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mazen</dc:creator>
  <cp:lastModifiedBy>Hayssam Chebli</cp:lastModifiedBy>
  <dcterms:created xsi:type="dcterms:W3CDTF">2016-03-07T13:10:54Z</dcterms:created>
  <dcterms:modified xsi:type="dcterms:W3CDTF">2026-02-21T11:41:37Z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0x01010002D933A429F3334999F4896F2D0A814E</vt:lpwstr>
  </property>
</Properties>
</file>